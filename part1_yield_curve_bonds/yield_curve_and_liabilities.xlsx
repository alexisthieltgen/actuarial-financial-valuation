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exis\Documents\Q10\LACTU2170 - Valorisation financière des engagements actuariels\Project\"/>
    </mc:Choice>
  </mc:AlternateContent>
  <xr:revisionPtr revIDLastSave="0" documentId="13_ncr:1_{D1F32319-2735-4B03-9492-0E72F16494E8}" xr6:coauthVersionLast="47" xr6:coauthVersionMax="47" xr10:uidLastSave="{00000000-0000-0000-0000-000000000000}"/>
  <bookViews>
    <workbookView xWindow="17925" yWindow="-21600" windowWidth="25800" windowHeight="21000" xr2:uid="{D2F40D5F-C7A1-4293-8351-2380483DE738}"/>
  </bookViews>
  <sheets>
    <sheet name="Feuil1" sheetId="1" r:id="rId1"/>
  </sheets>
  <definedNames>
    <definedName name="solver_adj" localSheetId="0" hidden="1">Feuil1!$G$2:$G$5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Feuil1!$E$13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9" i="1" l="1"/>
  <c r="B89" i="1"/>
  <c r="A95" i="1"/>
  <c r="C89" i="1"/>
  <c r="A91" i="1"/>
  <c r="A89" i="1"/>
  <c r="F85" i="1"/>
  <c r="F84" i="1"/>
  <c r="O56" i="1"/>
  <c r="M81" i="1"/>
  <c r="F80" i="1"/>
  <c r="F59" i="1"/>
  <c r="F58" i="1"/>
  <c r="E13" i="1"/>
  <c r="J51" i="1"/>
  <c r="J52" i="1"/>
  <c r="J50" i="1"/>
  <c r="H51" i="1"/>
  <c r="H52" i="1"/>
  <c r="H50" i="1"/>
  <c r="G50" i="1"/>
  <c r="R80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53" i="1"/>
  <c r="R52" i="1"/>
  <c r="R51" i="1"/>
  <c r="D51" i="1"/>
  <c r="M52" i="1" s="1"/>
  <c r="D52" i="1"/>
  <c r="D53" i="1"/>
  <c r="M54" i="1" s="1"/>
  <c r="D54" i="1"/>
  <c r="M55" i="1" s="1"/>
  <c r="D55" i="1"/>
  <c r="M56" i="1" s="1"/>
  <c r="D56" i="1"/>
  <c r="M57" i="1" s="1"/>
  <c r="D57" i="1"/>
  <c r="D58" i="1"/>
  <c r="D59" i="1"/>
  <c r="M60" i="1" s="1"/>
  <c r="D60" i="1"/>
  <c r="D61" i="1"/>
  <c r="M62" i="1" s="1"/>
  <c r="D62" i="1"/>
  <c r="M63" i="1" s="1"/>
  <c r="D63" i="1"/>
  <c r="M64" i="1" s="1"/>
  <c r="D64" i="1"/>
  <c r="M65" i="1" s="1"/>
  <c r="D65" i="1"/>
  <c r="D66" i="1"/>
  <c r="D67" i="1"/>
  <c r="M68" i="1" s="1"/>
  <c r="D68" i="1"/>
  <c r="D69" i="1"/>
  <c r="M70" i="1" s="1"/>
  <c r="D70" i="1"/>
  <c r="D71" i="1"/>
  <c r="M72" i="1" s="1"/>
  <c r="D72" i="1"/>
  <c r="M73" i="1" s="1"/>
  <c r="D73" i="1"/>
  <c r="M74" i="1" s="1"/>
  <c r="D74" i="1"/>
  <c r="M75" i="1" s="1"/>
  <c r="D75" i="1"/>
  <c r="D76" i="1"/>
  <c r="M77" i="1" s="1"/>
  <c r="D77" i="1"/>
  <c r="M78" i="1" s="1"/>
  <c r="D78" i="1"/>
  <c r="M79" i="1" s="1"/>
  <c r="D79" i="1"/>
  <c r="M80" i="1" s="1"/>
  <c r="D50" i="1"/>
  <c r="M51" i="1" s="1"/>
  <c r="C17" i="1"/>
  <c r="E50" i="1" s="1"/>
  <c r="F50" i="1" s="1"/>
  <c r="B45" i="1"/>
  <c r="B44" i="1"/>
  <c r="B43" i="1"/>
  <c r="B42" i="1"/>
  <c r="B40" i="1"/>
  <c r="B39" i="1"/>
  <c r="B38" i="1"/>
  <c r="B37" i="1"/>
  <c r="B35" i="1"/>
  <c r="B34" i="1"/>
  <c r="B33" i="1"/>
  <c r="B32" i="1"/>
  <c r="B30" i="1"/>
  <c r="B29" i="1"/>
  <c r="B28" i="1"/>
  <c r="B27" i="1"/>
  <c r="B25" i="1"/>
  <c r="B24" i="1"/>
  <c r="B22" i="1"/>
  <c r="B20" i="1"/>
  <c r="C2" i="1"/>
  <c r="D2" i="1" s="1"/>
  <c r="E2" i="1" s="1"/>
  <c r="C4" i="1"/>
  <c r="D4" i="1" s="1"/>
  <c r="E4" i="1" s="1"/>
  <c r="C5" i="1"/>
  <c r="D5" i="1" s="1"/>
  <c r="E5" i="1" s="1"/>
  <c r="C6" i="1"/>
  <c r="D6" i="1" s="1"/>
  <c r="E6" i="1" s="1"/>
  <c r="C7" i="1"/>
  <c r="D7" i="1" s="1"/>
  <c r="E7" i="1" s="1"/>
  <c r="C8" i="1"/>
  <c r="D8" i="1" s="1"/>
  <c r="E8" i="1" s="1"/>
  <c r="C9" i="1"/>
  <c r="D9" i="1" s="1"/>
  <c r="E9" i="1" s="1"/>
  <c r="C10" i="1"/>
  <c r="D10" i="1" s="1"/>
  <c r="E10" i="1" s="1"/>
  <c r="C11" i="1"/>
  <c r="D11" i="1" s="1"/>
  <c r="E11" i="1" s="1"/>
  <c r="C3" i="1"/>
  <c r="D3" i="1" s="1"/>
  <c r="E3" i="1" s="1"/>
  <c r="D108" i="1" l="1"/>
  <c r="F89" i="1"/>
  <c r="H89" i="1" s="1"/>
  <c r="B91" i="1"/>
  <c r="I50" i="1"/>
  <c r="C18" i="1" a="1"/>
  <c r="C18" i="1" s="1"/>
  <c r="E51" i="1" s="1"/>
  <c r="M71" i="1"/>
  <c r="M61" i="1"/>
  <c r="M76" i="1"/>
  <c r="M69" i="1"/>
  <c r="M53" i="1"/>
  <c r="M67" i="1"/>
  <c r="M59" i="1"/>
  <c r="M66" i="1"/>
  <c r="M58" i="1"/>
  <c r="E12" i="1"/>
  <c r="C98" i="1" l="1"/>
  <c r="C102" i="1"/>
  <c r="C99" i="1"/>
  <c r="C97" i="1"/>
  <c r="C108" i="1"/>
  <c r="C105" i="1"/>
  <c r="C95" i="1"/>
  <c r="C106" i="1"/>
  <c r="C96" i="1"/>
  <c r="C101" i="1"/>
  <c r="C107" i="1"/>
  <c r="C103" i="1"/>
  <c r="C104" i="1"/>
  <c r="C100" i="1"/>
  <c r="F51" i="1"/>
  <c r="I51" i="1"/>
  <c r="G51" i="1"/>
  <c r="C19" i="1" a="1"/>
  <c r="C19" i="1" s="1"/>
  <c r="C20" i="1" s="1" a="1"/>
  <c r="C20" i="1" s="1"/>
  <c r="E53" i="1" s="1"/>
  <c r="C109" i="1" l="1"/>
  <c r="F53" i="1"/>
  <c r="G53" i="1"/>
  <c r="H53" i="1" s="1"/>
  <c r="I53" i="1"/>
  <c r="J53" i="1" s="1"/>
  <c r="E52" i="1"/>
  <c r="C21" i="1" a="1"/>
  <c r="C21" i="1" s="1"/>
  <c r="F52" i="1" l="1"/>
  <c r="I52" i="1"/>
  <c r="G52" i="1"/>
  <c r="C22" i="1" a="1"/>
  <c r="C22" i="1" s="1"/>
  <c r="E54" i="1"/>
  <c r="F54" i="1" l="1"/>
  <c r="I54" i="1"/>
  <c r="J54" i="1" s="1"/>
  <c r="G54" i="1"/>
  <c r="H54" i="1" s="1"/>
  <c r="C23" i="1" a="1"/>
  <c r="C23" i="1" s="1"/>
  <c r="E56" i="1" s="1"/>
  <c r="E55" i="1"/>
  <c r="F55" i="1" l="1"/>
  <c r="G55" i="1"/>
  <c r="H55" i="1" s="1"/>
  <c r="I55" i="1"/>
  <c r="J55" i="1" s="1"/>
  <c r="F56" i="1"/>
  <c r="G56" i="1"/>
  <c r="H56" i="1" s="1"/>
  <c r="I56" i="1"/>
  <c r="J56" i="1" s="1"/>
  <c r="C24" i="1" a="1"/>
  <c r="C24" i="1" s="1"/>
  <c r="C25" i="1" l="1" a="1"/>
  <c r="C25" i="1" s="1"/>
  <c r="E58" i="1" s="1"/>
  <c r="E57" i="1"/>
  <c r="F57" i="1" l="1"/>
  <c r="G57" i="1"/>
  <c r="H57" i="1" s="1"/>
  <c r="I57" i="1"/>
  <c r="J57" i="1" s="1"/>
  <c r="G58" i="1"/>
  <c r="H58" i="1" s="1"/>
  <c r="I58" i="1"/>
  <c r="J58" i="1" s="1"/>
  <c r="C26" i="1" a="1"/>
  <c r="C26" i="1" s="1"/>
  <c r="E59" i="1" s="1"/>
  <c r="I59" i="1" l="1"/>
  <c r="J59" i="1" s="1"/>
  <c r="G59" i="1"/>
  <c r="H59" i="1" s="1"/>
  <c r="C27" i="1" a="1"/>
  <c r="C27" i="1" s="1"/>
  <c r="C28" i="1" l="1" a="1"/>
  <c r="C28" i="1" s="1"/>
  <c r="E61" i="1" s="1"/>
  <c r="E60" i="1"/>
  <c r="F61" i="1" l="1"/>
  <c r="G61" i="1"/>
  <c r="H61" i="1" s="1"/>
  <c r="I61" i="1"/>
  <c r="J61" i="1" s="1"/>
  <c r="F60" i="1"/>
  <c r="G60" i="1"/>
  <c r="H60" i="1" s="1"/>
  <c r="I60" i="1"/>
  <c r="J60" i="1" s="1"/>
  <c r="C29" i="1" a="1"/>
  <c r="C29" i="1" s="1"/>
  <c r="C30" i="1" l="1" a="1"/>
  <c r="C30" i="1" s="1"/>
  <c r="E62" i="1"/>
  <c r="F62" i="1" l="1"/>
  <c r="I62" i="1"/>
  <c r="J62" i="1" s="1"/>
  <c r="G62" i="1"/>
  <c r="H62" i="1" s="1"/>
  <c r="C31" i="1" a="1"/>
  <c r="C31" i="1" s="1"/>
  <c r="E63" i="1"/>
  <c r="F63" i="1" l="1"/>
  <c r="G63" i="1"/>
  <c r="H63" i="1" s="1"/>
  <c r="I63" i="1"/>
  <c r="J63" i="1" s="1"/>
  <c r="C32" i="1" a="1"/>
  <c r="C32" i="1" s="1"/>
  <c r="E64" i="1"/>
  <c r="F64" i="1" l="1"/>
  <c r="G64" i="1"/>
  <c r="H64" i="1" s="1"/>
  <c r="I64" i="1"/>
  <c r="J64" i="1" s="1"/>
  <c r="C33" i="1" a="1"/>
  <c r="C33" i="1" s="1"/>
  <c r="E65" i="1"/>
  <c r="F65" i="1" l="1"/>
  <c r="G65" i="1"/>
  <c r="H65" i="1" s="1"/>
  <c r="I65" i="1"/>
  <c r="J65" i="1" s="1"/>
  <c r="C34" i="1" a="1"/>
  <c r="C34" i="1" s="1"/>
  <c r="E66" i="1"/>
  <c r="F66" i="1" l="1"/>
  <c r="G66" i="1"/>
  <c r="H66" i="1" s="1"/>
  <c r="I66" i="1"/>
  <c r="J66" i="1" s="1"/>
  <c r="C35" i="1" a="1"/>
  <c r="C35" i="1" s="1"/>
  <c r="E67" i="1"/>
  <c r="F67" i="1" l="1"/>
  <c r="I67" i="1"/>
  <c r="J67" i="1" s="1"/>
  <c r="G67" i="1"/>
  <c r="H67" i="1" s="1"/>
  <c r="C36" i="1" a="1"/>
  <c r="C36" i="1" s="1"/>
  <c r="E68" i="1"/>
  <c r="F68" i="1" l="1"/>
  <c r="I68" i="1"/>
  <c r="J68" i="1" s="1"/>
  <c r="G68" i="1"/>
  <c r="H68" i="1" s="1"/>
  <c r="C37" i="1" a="1"/>
  <c r="C37" i="1" s="1"/>
  <c r="E69" i="1"/>
  <c r="F69" i="1" l="1"/>
  <c r="G69" i="1"/>
  <c r="H69" i="1" s="1"/>
  <c r="I69" i="1"/>
  <c r="J69" i="1" s="1"/>
  <c r="C38" i="1" a="1"/>
  <c r="C38" i="1" s="1"/>
  <c r="E70" i="1"/>
  <c r="F70" i="1" l="1"/>
  <c r="G70" i="1"/>
  <c r="H70" i="1" s="1"/>
  <c r="I70" i="1"/>
  <c r="J70" i="1" s="1"/>
  <c r="C39" i="1" a="1"/>
  <c r="C39" i="1" s="1"/>
  <c r="E71" i="1"/>
  <c r="F71" i="1" l="1"/>
  <c r="G71" i="1"/>
  <c r="H71" i="1" s="1"/>
  <c r="I71" i="1"/>
  <c r="J71" i="1" s="1"/>
  <c r="C40" i="1" a="1"/>
  <c r="C40" i="1" s="1"/>
  <c r="E72" i="1"/>
  <c r="F72" i="1" l="1"/>
  <c r="G72" i="1"/>
  <c r="H72" i="1" s="1"/>
  <c r="I72" i="1"/>
  <c r="J72" i="1" s="1"/>
  <c r="C41" i="1" a="1"/>
  <c r="C41" i="1" s="1"/>
  <c r="E73" i="1"/>
  <c r="F73" i="1" l="1"/>
  <c r="G73" i="1"/>
  <c r="H73" i="1" s="1"/>
  <c r="I73" i="1"/>
  <c r="J73" i="1" s="1"/>
  <c r="C42" i="1" a="1"/>
  <c r="C42" i="1" s="1"/>
  <c r="E74" i="1"/>
  <c r="F74" i="1" l="1"/>
  <c r="G74" i="1"/>
  <c r="H74" i="1" s="1"/>
  <c r="I74" i="1"/>
  <c r="J74" i="1" s="1"/>
  <c r="C43" i="1" a="1"/>
  <c r="C43" i="1" s="1"/>
  <c r="E75" i="1"/>
  <c r="F75" i="1" l="1"/>
  <c r="I75" i="1"/>
  <c r="J75" i="1" s="1"/>
  <c r="G75" i="1"/>
  <c r="H75" i="1" s="1"/>
  <c r="C44" i="1" a="1"/>
  <c r="C44" i="1" s="1"/>
  <c r="E76" i="1"/>
  <c r="F76" i="1" l="1"/>
  <c r="I76" i="1"/>
  <c r="J76" i="1" s="1"/>
  <c r="G76" i="1"/>
  <c r="H76" i="1" s="1"/>
  <c r="C45" i="1" a="1"/>
  <c r="C45" i="1" s="1"/>
  <c r="E77" i="1"/>
  <c r="F77" i="1" l="1"/>
  <c r="G77" i="1"/>
  <c r="H77" i="1" s="1"/>
  <c r="I77" i="1"/>
  <c r="J77" i="1" s="1"/>
  <c r="C46" i="1" a="1"/>
  <c r="C46" i="1" s="1"/>
  <c r="E79" i="1" s="1"/>
  <c r="E78" i="1"/>
  <c r="F78" i="1" l="1"/>
  <c r="I78" i="1"/>
  <c r="J78" i="1" s="1"/>
  <c r="G78" i="1"/>
  <c r="H78" i="1" s="1"/>
  <c r="F79" i="1"/>
  <c r="G79" i="1"/>
  <c r="H79" i="1" s="1"/>
  <c r="H80" i="1" s="1"/>
  <c r="G84" i="1" s="1"/>
  <c r="I79" i="1"/>
  <c r="J79" i="1" s="1"/>
  <c r="J80" i="1" l="1"/>
  <c r="G85" i="1" s="1"/>
  <c r="M50" i="1"/>
  <c r="O80" i="1" s="1"/>
  <c r="Q80" i="1" s="1"/>
  <c r="O51" i="1" l="1"/>
  <c r="Q51" i="1" s="1"/>
  <c r="O59" i="1"/>
  <c r="Q59" i="1" s="1"/>
  <c r="O77" i="1"/>
  <c r="Q77" i="1" s="1"/>
  <c r="O70" i="1"/>
  <c r="Q70" i="1" s="1"/>
  <c r="O54" i="1"/>
  <c r="Q54" i="1" s="1"/>
  <c r="O67" i="1"/>
  <c r="Q67" i="1" s="1"/>
  <c r="O64" i="1"/>
  <c r="Q64" i="1" s="1"/>
  <c r="O76" i="1"/>
  <c r="Q76" i="1" s="1"/>
  <c r="O61" i="1"/>
  <c r="Q61" i="1" s="1"/>
  <c r="O68" i="1"/>
  <c r="Q68" i="1" s="1"/>
  <c r="O65" i="1"/>
  <c r="Q65" i="1" s="1"/>
  <c r="Q56" i="1"/>
  <c r="O72" i="1"/>
  <c r="Q72" i="1" s="1"/>
  <c r="O66" i="1"/>
  <c r="Q66" i="1" s="1"/>
  <c r="O57" i="1"/>
  <c r="Q57" i="1" s="1"/>
  <c r="O75" i="1"/>
  <c r="Q75" i="1" s="1"/>
  <c r="O58" i="1"/>
  <c r="Q58" i="1" s="1"/>
  <c r="O79" i="1"/>
  <c r="Q79" i="1" s="1"/>
  <c r="O52" i="1"/>
  <c r="Q52" i="1" s="1"/>
  <c r="O55" i="1"/>
  <c r="Q55" i="1" s="1"/>
  <c r="O78" i="1"/>
  <c r="Q78" i="1" s="1"/>
  <c r="O74" i="1"/>
  <c r="Q74" i="1" s="1"/>
  <c r="O69" i="1"/>
  <c r="Q69" i="1" s="1"/>
  <c r="O60" i="1"/>
  <c r="Q60" i="1" s="1"/>
  <c r="O71" i="1"/>
  <c r="Q71" i="1" s="1"/>
  <c r="O53" i="1"/>
  <c r="Q53" i="1" s="1"/>
  <c r="O73" i="1"/>
  <c r="Q73" i="1" s="1"/>
  <c r="O62" i="1"/>
  <c r="Q62" i="1" s="1"/>
  <c r="O63" i="1"/>
  <c r="Q63" i="1" s="1"/>
  <c r="O81" i="1" l="1"/>
  <c r="Q83" i="1"/>
  <c r="Q81" i="1"/>
  <c r="Q82" i="1" s="1"/>
  <c r="D85" i="1" l="1"/>
  <c r="E85" i="1" s="1"/>
  <c r="D84" i="1"/>
  <c r="E84" i="1" s="1"/>
  <c r="B84" i="1"/>
  <c r="C84" i="1" s="1"/>
  <c r="B85" i="1"/>
  <c r="C8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<sst xmlns="http://schemas.openxmlformats.org/spreadsheetml/2006/main" count="61" uniqueCount="59">
  <si>
    <t>Maturity T (years)</t>
  </si>
  <si>
    <t>b0</t>
  </si>
  <si>
    <t>b10</t>
  </si>
  <si>
    <t>b11</t>
  </si>
  <si>
    <t>Nelson-Siegel
model yield</t>
  </si>
  <si>
    <t>Nelson-Siegel
model parameter</t>
  </si>
  <si>
    <t>Difference</t>
  </si>
  <si>
    <t>MSE</t>
  </si>
  <si>
    <t>RMSE</t>
  </si>
  <si>
    <t>Squared error</t>
  </si>
  <si>
    <t>Value
(Solved using Excel solver)</t>
  </si>
  <si>
    <t>c1 (positive!)</t>
  </si>
  <si>
    <t>Constant maturity rate/par yield on the 12/01/2026</t>
  </si>
  <si>
    <t>Bootstrapped
zero-coupon rate/spot rate</t>
  </si>
  <si>
    <t>Benefits</t>
  </si>
  <si>
    <t>Year</t>
  </si>
  <si>
    <t>Premium</t>
  </si>
  <si>
    <t>Net cash flow</t>
  </si>
  <si>
    <t>Present value</t>
  </si>
  <si>
    <t>Best estimate</t>
  </si>
  <si>
    <t>Cash flow</t>
  </si>
  <si>
    <t>Discount factor (with obtained yield)</t>
  </si>
  <si>
    <t>Check of the best estimate
with yield (OK!)</t>
  </si>
  <si>
    <t>Duration</t>
  </si>
  <si>
    <t>Present value
with (with obtained yield)</t>
  </si>
  <si>
    <t>Modified
duration</t>
  </si>
  <si>
    <t>Convexity</t>
  </si>
  <si>
    <t>Year (t_k)</t>
  </si>
  <si>
    <t>t_k * (t_k + 1)</t>
  </si>
  <si>
    <t>Yield of
liabilities</t>
  </si>
  <si>
    <t>Yield shift
∆y</t>
  </si>
  <si>
    <t>Exact new BE</t>
  </si>
  <si>
    <t>Spot rate s(t)</t>
  </si>
  <si>
    <t>s(t) + 1% (for Q4)</t>
  </si>
  <si>
    <t>s(t) - 1% (for Q4)</t>
  </si>
  <si>
    <t>Present value (∆y = 1%)</t>
  </si>
  <si>
    <t>Present value (∆y = -1%)</t>
  </si>
  <si>
    <t>Best estimate (∆y = 1%)</t>
  </si>
  <si>
    <t>Best estimate (∆y = -1%)</t>
  </si>
  <si>
    <t>Approximated relative BE change
(modified duration)</t>
  </si>
  <si>
    <t>Approximated relative BE change
(modified duration and convexity)</t>
  </si>
  <si>
    <t>Approximated new BE
(modified duration)</t>
  </si>
  <si>
    <t>Approximated new BE
(modified duration and convexity)</t>
  </si>
  <si>
    <t>Constant maturity rate/par rate on the 12/01/2026
(given or interpolated)</t>
  </si>
  <si>
    <t>Accrued interests of
OLO2.75%22APR2039
(convention "real/real")</t>
  </si>
  <si>
    <t>Clean price</t>
  </si>
  <si>
    <t>Dirty price</t>
  </si>
  <si>
    <t>Last coupon date</t>
  </si>
  <si>
    <t>Next coupon date</t>
  </si>
  <si>
    <t>Today's date</t>
  </si>
  <si>
    <t>Day count fraction</t>
  </si>
  <si>
    <t>Coupon rate</t>
  </si>
  <si>
    <t>Check of the
accrued interests
(OK!)</t>
  </si>
  <si>
    <t>Yield</t>
  </si>
  <si>
    <t>Maturity date</t>
  </si>
  <si>
    <t>Coupon present value</t>
  </si>
  <si>
    <t>Principal present value</t>
  </si>
  <si>
    <t>Check of the
dirty price (OK!)</t>
  </si>
  <si>
    <t>Exact relatif BE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</si>
</sst>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0" fontId="0" fillId="0" borderId="0" xfId="0" applyNumberFormat="1"/>
    <xf numFmtId="1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Comparison between real and Nelson-Siegel model yields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Real yield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25</c:v>
                </c:pt>
                <c:pt idx="9">
                  <c:v>30</c:v>
                </c:pt>
              </c:numCache>
            </c:numRef>
          </c:xVal>
          <c:yVal>
            <c:numRef>
              <c:f>Feuil1!$B$2:$B$11</c:f>
              <c:numCache>
                <c:formatCode>0.00%</c:formatCode>
                <c:ptCount val="10"/>
                <c:pt idx="0">
                  <c:v>2.1299999999999999E-2</c:v>
                </c:pt>
                <c:pt idx="1">
                  <c:v>2.24E-2</c:v>
                </c:pt>
                <c:pt idx="2">
                  <c:v>2.4199999999999999E-2</c:v>
                </c:pt>
                <c:pt idx="3">
                  <c:v>2.7900000000000001E-2</c:v>
                </c:pt>
                <c:pt idx="4">
                  <c:v>3.1199999999999999E-2</c:v>
                </c:pt>
                <c:pt idx="5">
                  <c:v>3.5499999999999997E-2</c:v>
                </c:pt>
                <c:pt idx="6">
                  <c:v>3.95E-2</c:v>
                </c:pt>
                <c:pt idx="7">
                  <c:v>4.1799999999999997E-2</c:v>
                </c:pt>
                <c:pt idx="8">
                  <c:v>4.36E-2</c:v>
                </c:pt>
                <c:pt idx="9">
                  <c:v>4.4600000000000001E-2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0-4569-8E89-64F7B090F370}"/>
            </c:ext>
          </c:extLst>
        </c:ser>
        <c:ser>
          <c:idx val="1"/>
          <c:order val="1"/>
          <c:tx>
            <c:v>Model yield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25</c:v>
                </c:pt>
                <c:pt idx="9">
                  <c:v>30</c:v>
                </c:pt>
              </c:numCache>
            </c:numRef>
          </c:xVal>
          <c:yVal>
            <c:numRef>
              <c:f>Feuil1!$C$2:$C$11</c:f>
              <c:numCache>
                <c:formatCode>General</c:formatCode>
                <c:ptCount val="10"/>
                <c:pt idx="0">
                  <c:v>2.0639196963961132E-2</c:v>
                </c:pt>
                <c:pt idx="1">
                  <c:v>2.2735564466532392E-2</c:v>
                </c:pt>
                <c:pt idx="2">
                  <c:v>2.4685809983477372E-2</c:v>
                </c:pt>
                <c:pt idx="3">
                  <c:v>2.8181322528778724E-2</c:v>
                </c:pt>
                <c:pt idx="4">
                  <c:v>3.1188026964064933E-2</c:v>
                </c:pt>
                <c:pt idx="5">
                  <c:v>3.4901645467129976E-2</c:v>
                </c:pt>
                <c:pt idx="6">
                  <c:v>3.9353979969426474E-2</c:v>
                </c:pt>
                <c:pt idx="7">
                  <c:v>4.2144264472651585E-2</c:v>
                </c:pt>
                <c:pt idx="8">
                  <c:v>4.3727209801063247E-2</c:v>
                </c:pt>
                <c:pt idx="9">
                  <c:v>4.4442944254379647E-2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70-4569-8E89-64F7B090F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393952"/>
        <c:axId val="1031408832"/>
      </c:scatterChart>
      <c:valAx>
        <c:axId val="103139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Maturity T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408832"/>
        <c:crosses val="autoZero"/>
        <c:crossBetween val="midCat"/>
      </c:valAx>
      <c:valAx>
        <c:axId val="103140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393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between constant maturity rates</a:t>
            </a:r>
            <a:r>
              <a:rPr lang="en-US" baseline="0"/>
              <a:t> and bootstrapped spot rates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Par rate curve (given or interpolated)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Feuil1!$A$17:$A$46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Feuil1!$B$17:$B$46</c:f>
              <c:numCache>
                <c:formatCode>0.00%</c:formatCode>
                <c:ptCount val="30"/>
                <c:pt idx="0">
                  <c:v>2.1299999999999999E-2</c:v>
                </c:pt>
                <c:pt idx="1">
                  <c:v>2.24E-2</c:v>
                </c:pt>
                <c:pt idx="2">
                  <c:v>2.4199999999999999E-2</c:v>
                </c:pt>
                <c:pt idx="3" formatCode="General">
                  <c:v>2.6498396117869145E-2</c:v>
                </c:pt>
                <c:pt idx="4">
                  <c:v>2.7900000000000001E-2</c:v>
                </c:pt>
                <c:pt idx="5" formatCode="General">
                  <c:v>2.9742150625837269E-2</c:v>
                </c:pt>
                <c:pt idx="6">
                  <c:v>3.1199999999999999E-2</c:v>
                </c:pt>
                <c:pt idx="7" formatCode="General">
                  <c:v>3.2525705406825874E-2</c:v>
                </c:pt>
                <c:pt idx="8" formatCode="General">
                  <c:v>3.3761568121251896E-2</c:v>
                </c:pt>
                <c:pt idx="9">
                  <c:v>3.5499999999999997E-2</c:v>
                </c:pt>
                <c:pt idx="10" formatCode="General">
                  <c:v>3.5951634837080984E-2</c:v>
                </c:pt>
                <c:pt idx="11" formatCode="General">
                  <c:v>3.6916918502850657E-2</c:v>
                </c:pt>
                <c:pt idx="12" formatCode="General">
                  <c:v>3.7802580519683535E-2</c:v>
                </c:pt>
                <c:pt idx="13" formatCode="General">
                  <c:v>3.8613422738049158E-2</c:v>
                </c:pt>
                <c:pt idx="14">
                  <c:v>3.95E-2</c:v>
                </c:pt>
                <c:pt idx="15" formatCode="General">
                  <c:v>4.0028534350423202E-2</c:v>
                </c:pt>
                <c:pt idx="16" formatCode="General">
                  <c:v>4.0641128947202829E-2</c:v>
                </c:pt>
                <c:pt idx="17" formatCode="General">
                  <c:v>4.1195580640008084E-2</c:v>
                </c:pt>
                <c:pt idx="18" formatCode="General">
                  <c:v>4.1695492325497865E-2</c:v>
                </c:pt>
                <c:pt idx="19">
                  <c:v>4.1799999999999997E-2</c:v>
                </c:pt>
                <c:pt idx="20" formatCode="General">
                  <c:v>4.2545106066132155E-2</c:v>
                </c:pt>
                <c:pt idx="21" formatCode="General">
                  <c:v>4.2901044969234109E-2</c:v>
                </c:pt>
                <c:pt idx="22" formatCode="General">
                  <c:v>4.3214937736869116E-2</c:v>
                </c:pt>
                <c:pt idx="23" formatCode="General">
                  <c:v>4.3489478907454145E-2</c:v>
                </c:pt>
                <c:pt idx="24">
                  <c:v>4.36E-2</c:v>
                </c:pt>
                <c:pt idx="25" formatCode="General">
                  <c:v>4.3930526849776635E-2</c:v>
                </c:pt>
                <c:pt idx="26" formatCode="General">
                  <c:v>4.4101689484808956E-2</c:v>
                </c:pt>
                <c:pt idx="27" formatCode="General">
                  <c:v>4.4242827603715708E-2</c:v>
                </c:pt>
                <c:pt idx="28" formatCode="General">
                  <c:v>4.4355948639761313E-2</c:v>
                </c:pt>
                <c:pt idx="29">
                  <c:v>4.4600000000000001E-2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F3-45CA-82A7-7163B33C5A31}"/>
            </c:ext>
          </c:extLst>
        </c:ser>
        <c:ser>
          <c:idx val="1"/>
          <c:order val="1"/>
          <c:tx>
            <c:v>Bootstrapped zero-coupon/spot rate curve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Feuil1!$A$17:$A$46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Feuil1!$C$17:$C$46</c:f>
              <c:numCache>
                <c:formatCode>General</c:formatCode>
                <c:ptCount val="30"/>
                <c:pt idx="0" formatCode="0.00%">
                  <c:v>2.1299999999999999E-2</c:v>
                </c:pt>
                <c:pt idx="1">
                  <c:v>2.2412333492532577E-2</c:v>
                </c:pt>
                <c:pt idx="2">
                  <c:v>2.4252949665289014E-2</c:v>
                </c:pt>
                <c:pt idx="3">
                  <c:v>2.6635639889285301E-2</c:v>
                </c:pt>
                <c:pt idx="4">
                  <c:v>2.8097108811007576E-2</c:v>
                </c:pt>
                <c:pt idx="5">
                  <c:v>3.0062510907592044E-2</c:v>
                </c:pt>
                <c:pt idx="6">
                  <c:v>3.1635652322468566E-2</c:v>
                </c:pt>
                <c:pt idx="7">
                  <c:v>3.3089667924221411E-2</c:v>
                </c:pt>
                <c:pt idx="8">
                  <c:v>3.4470123386384E-2</c:v>
                </c:pt>
                <c:pt idx="9">
                  <c:v>3.6492332998302679E-2</c:v>
                </c:pt>
                <c:pt idx="10">
                  <c:v>3.6961444094050666E-2</c:v>
                </c:pt>
                <c:pt idx="11">
                  <c:v>3.8104418739291157E-2</c:v>
                </c:pt>
                <c:pt idx="12">
                  <c:v>3.917420051552889E-2</c:v>
                </c:pt>
                <c:pt idx="13">
                  <c:v>4.0173491138157935E-2</c:v>
                </c:pt>
                <c:pt idx="14">
                  <c:v>4.1310613673975149E-2</c:v>
                </c:pt>
                <c:pt idx="15">
                  <c:v>4.1962133281227443E-2</c:v>
                </c:pt>
                <c:pt idx="16">
                  <c:v>4.2763612279891117E-2</c:v>
                </c:pt>
                <c:pt idx="17">
                  <c:v>4.3502760542201591E-2</c:v>
                </c:pt>
                <c:pt idx="18">
                  <c:v>4.4181115929387227E-2</c:v>
                </c:pt>
                <c:pt idx="19">
                  <c:v>4.4228872798862451E-2</c:v>
                </c:pt>
                <c:pt idx="20">
                  <c:v>4.5384464266112756E-2</c:v>
                </c:pt>
                <c:pt idx="21">
                  <c:v>4.5887668903037193E-2</c:v>
                </c:pt>
                <c:pt idx="22">
                  <c:v>4.6334948010592125E-2</c:v>
                </c:pt>
                <c:pt idx="23">
                  <c:v>4.6727293939964776E-2</c:v>
                </c:pt>
                <c:pt idx="24">
                  <c:v>4.6814544084497367E-2</c:v>
                </c:pt>
                <c:pt idx="25">
                  <c:v>4.7361725794575094E-2</c:v>
                </c:pt>
                <c:pt idx="26">
                  <c:v>4.7594664320433688E-2</c:v>
                </c:pt>
                <c:pt idx="27">
                  <c:v>4.7776443929549384E-2</c:v>
                </c:pt>
                <c:pt idx="28">
                  <c:v>4.7908059605566322E-2</c:v>
                </c:pt>
                <c:pt idx="29">
                  <c:v>4.8356596308735345E-2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F3-45CA-82A7-7163B33C5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907103"/>
        <c:axId val="1075886943"/>
      </c:scatterChart>
      <c:valAx>
        <c:axId val="107590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Maturity</a:t>
                </a:r>
                <a:r>
                  <a:rPr lang="en-GB" baseline="0"/>
                  <a:t> T (years)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886943"/>
        <c:crosses val="autoZero"/>
        <c:crossBetween val="midCat"/>
      </c:valAx>
      <c:valAx>
        <c:axId val="107588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907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762000</xdr:colOff>
      <xdr:row>25</xdr:row>
      <xdr:rowOff>101917</xdr:rowOff>
    </xdr:from>
    <xdr:ext cx="65" cy="172227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4660696C-11D7-2415-6C77-28D7668D3BA8}"/>
            </a:ext>
          </a:extLst>
        </xdr:cNvPr>
        <xdr:cNvSpPr txBox="1"/>
      </xdr:nvSpPr>
      <xdr:spPr>
        <a:xfrm>
          <a:off x="15697200" y="480726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BE" sz="1100"/>
        </a:p>
      </xdr:txBody>
    </xdr:sp>
    <xdr:clientData/>
  </xdr:oneCellAnchor>
  <xdr:twoCellAnchor>
    <xdr:from>
      <xdr:col>7</xdr:col>
      <xdr:colOff>3452</xdr:colOff>
      <xdr:row>0</xdr:row>
      <xdr:rowOff>0</xdr:rowOff>
    </xdr:from>
    <xdr:to>
      <xdr:col>9</xdr:col>
      <xdr:colOff>1066178</xdr:colOff>
      <xdr:row>14</xdr:row>
      <xdr:rowOff>36195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35C2BC00-FF6A-013B-64AC-908F8B8F70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11278</xdr:colOff>
      <xdr:row>16</xdr:row>
      <xdr:rowOff>9995</xdr:rowOff>
    </xdr:from>
    <xdr:to>
      <xdr:col>5</xdr:col>
      <xdr:colOff>526213</xdr:colOff>
      <xdr:row>32</xdr:row>
      <xdr:rowOff>1904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7F8B03-4B34-7F56-03E2-20B74F7D2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0D22-4846-4577-BFEF-F8BFBACFC151}">
  <dimension ref="A1:R120"/>
  <sheetViews>
    <sheetView tabSelected="1" topLeftCell="A68" zoomScale="101" workbookViewId="0">
      <selection activeCell="A95" sqref="A95"/>
    </sheetView>
  </sheetViews>
  <sheetFormatPr defaultColWidth="11.5546875" defaultRowHeight="14.4" x14ac:dyDescent="0.3"/>
  <cols>
    <col min="1" max="1" width="21.44140625" customWidth="1"/>
    <col min="2" max="2" width="20.5546875" customWidth="1"/>
    <col min="3" max="3" width="21.88671875" customWidth="1"/>
    <col min="4" max="4" width="30.33203125" customWidth="1"/>
    <col min="5" max="9" width="30.21875" customWidth="1"/>
    <col min="10" max="10" width="29.44140625" customWidth="1"/>
    <col min="11" max="11" width="24.5546875" customWidth="1"/>
    <col min="14" max="14" width="13.44140625" customWidth="1"/>
    <col min="15" max="15" width="18.77734375" customWidth="1"/>
  </cols>
  <sheetData>
    <row r="1" spans="1:11" ht="40.200000000000003" customHeight="1" x14ac:dyDescent="0.3">
      <c r="A1" s="3" t="s">
        <v>0</v>
      </c>
      <c r="B1" s="4" t="s">
        <v>12</v>
      </c>
      <c r="C1" s="4" t="s">
        <v>4</v>
      </c>
      <c r="D1" s="3" t="s">
        <v>6</v>
      </c>
      <c r="E1" s="4" t="s">
        <v>9</v>
      </c>
      <c r="F1" s="4" t="s">
        <v>5</v>
      </c>
      <c r="G1" s="4" t="s">
        <v>10</v>
      </c>
      <c r="H1" s="4"/>
      <c r="I1" s="4"/>
    </row>
    <row r="2" spans="1:11" x14ac:dyDescent="0.3">
      <c r="A2" s="1">
        <v>1</v>
      </c>
      <c r="B2" s="2">
        <v>2.1299999999999999E-2</v>
      </c>
      <c r="C2" s="1">
        <f t="shared" ref="C2:C11" si="0">$G$2 + $G$3*(1-EXP(-$G$5*A2))/(A2*$G$5) + $G$4*(1-($G$5*A2+1)*EXP(-$G$5*A2))/(A2*$G$5^2)</f>
        <v>2.0639196963961132E-2</v>
      </c>
      <c r="D2" s="2">
        <f>B2 - C2</f>
        <v>6.6080303603886781E-4</v>
      </c>
      <c r="E2" s="1">
        <f t="shared" ref="E2:E11" si="1">D2^2</f>
        <v>4.3666065243818521E-7</v>
      </c>
      <c r="F2" s="1" t="s">
        <v>1</v>
      </c>
      <c r="G2" s="1">
        <v>1.6841371687302958E-2</v>
      </c>
      <c r="H2" s="1"/>
      <c r="I2" s="1"/>
    </row>
    <row r="3" spans="1:11" x14ac:dyDescent="0.3">
      <c r="A3" s="1">
        <v>2</v>
      </c>
      <c r="B3" s="2">
        <v>2.24E-2</v>
      </c>
      <c r="C3" s="1">
        <f t="shared" si="0"/>
        <v>2.2735564466532392E-2</v>
      </c>
      <c r="D3" s="2">
        <f t="shared" ref="D3:D11" si="2">B3 - C3</f>
        <v>-3.3556446653239258E-4</v>
      </c>
      <c r="E3" s="1">
        <f t="shared" si="1"/>
        <v>1.1260351119916922E-7</v>
      </c>
      <c r="F3" s="1" t="s">
        <v>2</v>
      </c>
      <c r="G3" s="1">
        <v>1.546384175499534E-3</v>
      </c>
      <c r="H3" s="1"/>
      <c r="I3" s="1"/>
    </row>
    <row r="4" spans="1:11" x14ac:dyDescent="0.3">
      <c r="A4" s="1">
        <v>3</v>
      </c>
      <c r="B4" s="2">
        <v>2.4199999999999999E-2</v>
      </c>
      <c r="C4" s="1">
        <f t="shared" si="0"/>
        <v>2.4685809983477372E-2</v>
      </c>
      <c r="D4" s="2">
        <f t="shared" si="2"/>
        <v>-4.858099834773727E-4</v>
      </c>
      <c r="E4" s="1">
        <f t="shared" si="1"/>
        <v>2.3601134004628513E-7</v>
      </c>
      <c r="F4" s="1" t="s">
        <v>3</v>
      </c>
      <c r="G4" s="1">
        <v>4.7452806740464525E-3</v>
      </c>
      <c r="H4" s="1"/>
      <c r="I4" s="1"/>
    </row>
    <row r="5" spans="1:11" x14ac:dyDescent="0.3">
      <c r="A5" s="1">
        <v>5</v>
      </c>
      <c r="B5" s="2">
        <v>2.7900000000000001E-2</v>
      </c>
      <c r="C5" s="1">
        <f t="shared" si="0"/>
        <v>2.8181322528778724E-2</v>
      </c>
      <c r="D5" s="2">
        <f t="shared" si="2"/>
        <v>-2.8132252877872271E-4</v>
      </c>
      <c r="E5" s="1">
        <f t="shared" si="1"/>
        <v>7.9142365198455275E-8</v>
      </c>
      <c r="F5" s="1" t="s">
        <v>11</v>
      </c>
      <c r="G5" s="1">
        <v>5.2446036777011089E-2</v>
      </c>
      <c r="H5" s="1"/>
      <c r="I5" s="1"/>
    </row>
    <row r="6" spans="1:11" x14ac:dyDescent="0.3">
      <c r="A6" s="1">
        <v>7</v>
      </c>
      <c r="B6" s="2">
        <v>3.1199999999999999E-2</v>
      </c>
      <c r="C6" s="1">
        <f t="shared" si="0"/>
        <v>3.1188026964064933E-2</v>
      </c>
      <c r="D6" s="2">
        <f t="shared" si="2"/>
        <v>1.1973035935065879E-5</v>
      </c>
      <c r="E6" s="1">
        <f t="shared" si="1"/>
        <v>1.4335358950237886E-10</v>
      </c>
      <c r="F6" s="1"/>
      <c r="G6" s="1"/>
      <c r="H6" s="1"/>
      <c r="I6" s="1"/>
      <c r="J6" s="1"/>
      <c r="K6" s="1"/>
    </row>
    <row r="7" spans="1:11" x14ac:dyDescent="0.3">
      <c r="A7" s="1">
        <v>10</v>
      </c>
      <c r="B7" s="2">
        <v>3.5499999999999997E-2</v>
      </c>
      <c r="C7" s="1">
        <f t="shared" si="0"/>
        <v>3.4901645467129976E-2</v>
      </c>
      <c r="D7" s="2">
        <f t="shared" si="2"/>
        <v>5.9835453287002127E-4</v>
      </c>
      <c r="E7" s="1">
        <f t="shared" si="1"/>
        <v>3.5802814700610138E-7</v>
      </c>
      <c r="F7" s="1"/>
      <c r="G7" s="1"/>
      <c r="H7" s="1"/>
      <c r="I7" s="1"/>
      <c r="J7" s="1"/>
      <c r="K7" s="1"/>
    </row>
    <row r="8" spans="1:11" x14ac:dyDescent="0.3">
      <c r="A8" s="1">
        <v>15</v>
      </c>
      <c r="B8" s="2">
        <v>3.95E-2</v>
      </c>
      <c r="C8" s="1">
        <f t="shared" si="0"/>
        <v>3.9353979969426474E-2</v>
      </c>
      <c r="D8" s="2">
        <f t="shared" si="2"/>
        <v>1.4602003057352653E-4</v>
      </c>
      <c r="E8" s="1">
        <f t="shared" si="1"/>
        <v>2.1321849328693622E-8</v>
      </c>
      <c r="F8" s="1"/>
      <c r="G8" s="1"/>
      <c r="H8" s="1"/>
      <c r="I8" s="1"/>
      <c r="J8" s="1"/>
      <c r="K8" s="1"/>
    </row>
    <row r="9" spans="1:11" x14ac:dyDescent="0.3">
      <c r="A9" s="1">
        <v>20</v>
      </c>
      <c r="B9" s="2">
        <v>4.1799999999999997E-2</v>
      </c>
      <c r="C9" s="1">
        <f t="shared" si="0"/>
        <v>4.2144264472651585E-2</v>
      </c>
      <c r="D9" s="2">
        <f t="shared" si="2"/>
        <v>-3.4426447265158838E-4</v>
      </c>
      <c r="E9" s="1">
        <f t="shared" si="1"/>
        <v>1.1851802713007625E-7</v>
      </c>
      <c r="F9" s="1"/>
      <c r="G9" s="1"/>
      <c r="H9" s="1"/>
      <c r="I9" s="1"/>
      <c r="J9" s="1"/>
      <c r="K9" s="1"/>
    </row>
    <row r="10" spans="1:11" x14ac:dyDescent="0.3">
      <c r="A10" s="1">
        <v>25</v>
      </c>
      <c r="B10" s="2">
        <v>4.36E-2</v>
      </c>
      <c r="C10" s="1">
        <f t="shared" si="0"/>
        <v>4.3727209801063247E-2</v>
      </c>
      <c r="D10" s="2">
        <f t="shared" si="2"/>
        <v>-1.2720980106324664E-4</v>
      </c>
      <c r="E10" s="1">
        <f t="shared" si="1"/>
        <v>1.6182333486550785E-8</v>
      </c>
      <c r="F10" s="1"/>
      <c r="G10" s="1"/>
      <c r="H10" s="1"/>
      <c r="I10" s="1"/>
      <c r="J10" s="1"/>
      <c r="K10" s="1"/>
    </row>
    <row r="11" spans="1:11" x14ac:dyDescent="0.3">
      <c r="A11" s="1">
        <v>30</v>
      </c>
      <c r="B11" s="2">
        <v>4.4600000000000001E-2</v>
      </c>
      <c r="C11" s="1">
        <f t="shared" si="0"/>
        <v>4.4442944254379647E-2</v>
      </c>
      <c r="D11" s="2">
        <f t="shared" si="2"/>
        <v>1.5705574562035335E-4</v>
      </c>
      <c r="E11" s="1">
        <f t="shared" si="1"/>
        <v>2.4666507232365139E-8</v>
      </c>
      <c r="F11" s="1"/>
      <c r="G11" s="1"/>
      <c r="H11" s="1"/>
      <c r="I11" s="1"/>
      <c r="J11" s="1"/>
      <c r="K11" s="1"/>
    </row>
    <row r="12" spans="1:11" x14ac:dyDescent="0.3">
      <c r="D12" s="3" t="s">
        <v>7</v>
      </c>
      <c r="E12" s="1">
        <f>AVERAGE(E2:E11)</f>
        <v>1.4032780866553843E-7</v>
      </c>
      <c r="F12" s="1"/>
      <c r="G12" s="1"/>
      <c r="H12" s="1"/>
      <c r="I12" s="1"/>
    </row>
    <row r="13" spans="1:11" x14ac:dyDescent="0.3">
      <c r="D13" s="3" t="s">
        <v>8</v>
      </c>
      <c r="E13" s="1">
        <f>SQRT(E12)</f>
        <v>3.746035353083823E-4</v>
      </c>
      <c r="F13" s="1"/>
      <c r="G13" s="1"/>
      <c r="H13" s="1"/>
      <c r="I13" s="1"/>
    </row>
    <row r="16" spans="1:11" ht="55.2" customHeight="1" x14ac:dyDescent="0.3">
      <c r="A16" s="3" t="s">
        <v>0</v>
      </c>
      <c r="B16" s="4" t="s">
        <v>43</v>
      </c>
      <c r="C16" s="4" t="s">
        <v>13</v>
      </c>
    </row>
    <row r="17" spans="1:3" x14ac:dyDescent="0.3">
      <c r="A17" s="1">
        <v>1</v>
      </c>
      <c r="B17" s="2">
        <v>2.1299999999999999E-2</v>
      </c>
      <c r="C17" s="2">
        <f>B17</f>
        <v>2.1299999999999999E-2</v>
      </c>
    </row>
    <row r="18" spans="1:3" x14ac:dyDescent="0.3">
      <c r="A18" s="1">
        <v>2</v>
      </c>
      <c r="B18" s="2">
        <v>2.24E-2</v>
      </c>
      <c r="C18" s="1" cm="1">
        <f t="array" ref="C18">((B18+1)/(1 - B18*SUMPRODUCT(1/(1+$C$17:C17)^($A$17:A17))))^(1/A18) - 1</f>
        <v>2.2412333492532577E-2</v>
      </c>
    </row>
    <row r="19" spans="1:3" x14ac:dyDescent="0.3">
      <c r="A19" s="1">
        <v>3</v>
      </c>
      <c r="B19" s="2">
        <v>2.4199999999999999E-2</v>
      </c>
      <c r="C19" s="1" cm="1">
        <f t="array" ref="C19">((B19+1)/(1 - B19*SUMPRODUCT(1/(1+$C$17:C18)^($A$17:A18))))^(1/A19) - 1</f>
        <v>2.4252949665289014E-2</v>
      </c>
    </row>
    <row r="20" spans="1:3" x14ac:dyDescent="0.3">
      <c r="A20" s="1">
        <v>4</v>
      </c>
      <c r="B20" s="1">
        <f>$G$2 + $G$3*(1-EXP(-$G$5*A20))/(A20*$G$5) + $G$4*(1-($G$5*A20+1)*EXP(-$G$5*A20))/(A20*$G$5^2)</f>
        <v>2.6498396117869145E-2</v>
      </c>
      <c r="C20" s="1" cm="1">
        <f t="array" ref="C20">((B20+1)/(1 - B20*SUMPRODUCT(1/(1+$C$17:C19)^($A$17:A19))))^(1/A20) - 1</f>
        <v>2.6635639889285301E-2</v>
      </c>
    </row>
    <row r="21" spans="1:3" x14ac:dyDescent="0.3">
      <c r="A21" s="1">
        <v>5</v>
      </c>
      <c r="B21" s="2">
        <v>2.7900000000000001E-2</v>
      </c>
      <c r="C21" s="1" cm="1">
        <f t="array" ref="C21">((B21+1)/(1 - B21*SUMPRODUCT(1/(1+$C$17:C20)^($A$17:A20))))^(1/A21) - 1</f>
        <v>2.8097108811007576E-2</v>
      </c>
    </row>
    <row r="22" spans="1:3" x14ac:dyDescent="0.3">
      <c r="A22" s="1">
        <v>6</v>
      </c>
      <c r="B22" s="1">
        <f>$G$2 + $G$3*(1-EXP(-$G$5*A22))/(A22*$G$5) + $G$4*(1-($G$5*A22+1)*EXP(-$G$5*A22))/(A22*$G$5^2)</f>
        <v>2.9742150625837269E-2</v>
      </c>
      <c r="C22" s="1" cm="1">
        <f t="array" ref="C22">((B22+1)/(1 - B22*SUMPRODUCT(1/(1+$C$17:C21)^($A$17:A21))))^(1/A22) - 1</f>
        <v>3.0062510907592044E-2</v>
      </c>
    </row>
    <row r="23" spans="1:3" x14ac:dyDescent="0.3">
      <c r="A23" s="1">
        <v>7</v>
      </c>
      <c r="B23" s="2">
        <v>3.1199999999999999E-2</v>
      </c>
      <c r="C23" s="1" cm="1">
        <f t="array" ref="C23">((B23+1)/(1 - B23*SUMPRODUCT(1/(1+$C$17:C22)^($A$17:A22))))^(1/A23) - 1</f>
        <v>3.1635652322468566E-2</v>
      </c>
    </row>
    <row r="24" spans="1:3" x14ac:dyDescent="0.3">
      <c r="A24" s="1">
        <v>8</v>
      </c>
      <c r="B24" s="1">
        <f>$G$2 + $G$3*(1-EXP(-$G$5*A24))/(A24*$G$5) + $G$4*(1-($G$5*A24+1)*EXP(-$G$5*A24))/(A24*$G$5^2)</f>
        <v>3.2525705406825874E-2</v>
      </c>
      <c r="C24" s="1" cm="1">
        <f t="array" ref="C24">((B24+1)/(1 - B24*SUMPRODUCT(1/(1+$C$17:C23)^($A$17:A23))))^(1/A24) - 1</f>
        <v>3.3089667924221411E-2</v>
      </c>
    </row>
    <row r="25" spans="1:3" x14ac:dyDescent="0.3">
      <c r="A25" s="1">
        <v>9</v>
      </c>
      <c r="B25" s="1">
        <f>$G$2 + $G$3*(1-EXP(-$G$5*A25))/(A25*$G$5) + $G$4*(1-($G$5*A25+1)*EXP(-$G$5*A25))/(A25*$G$5^2)</f>
        <v>3.3761568121251896E-2</v>
      </c>
      <c r="C25" s="1" cm="1">
        <f t="array" ref="C25">((B25+1)/(1 - B25*SUMPRODUCT(1/(1+$C$17:C24)^($A$17:A24))))^(1/A25) - 1</f>
        <v>3.4470123386384E-2</v>
      </c>
    </row>
    <row r="26" spans="1:3" x14ac:dyDescent="0.3">
      <c r="A26" s="1">
        <v>10</v>
      </c>
      <c r="B26" s="2">
        <v>3.5499999999999997E-2</v>
      </c>
      <c r="C26" s="1" cm="1">
        <f t="array" ref="C26">((B26+1)/(1 - B26*SUMPRODUCT(1/(1+$C$17:C25)^($A$17:A25))))^(1/A26) - 1</f>
        <v>3.6492332998302679E-2</v>
      </c>
    </row>
    <row r="27" spans="1:3" x14ac:dyDescent="0.3">
      <c r="A27" s="1">
        <v>11</v>
      </c>
      <c r="B27" s="1">
        <f>$G$2 + $G$3*(1-EXP(-$G$5*A27))/(A27*$G$5) + $G$4*(1-($G$5*A27+1)*EXP(-$G$5*A27))/(A27*$G$5^2)</f>
        <v>3.5951634837080984E-2</v>
      </c>
      <c r="C27" s="1" cm="1">
        <f t="array" ref="C27">((B27+1)/(1 - B27*SUMPRODUCT(1/(1+$C$17:C26)^($A$17:A26))))^(1/A27) - 1</f>
        <v>3.6961444094050666E-2</v>
      </c>
    </row>
    <row r="28" spans="1:3" x14ac:dyDescent="0.3">
      <c r="A28" s="1">
        <v>12</v>
      </c>
      <c r="B28" s="1">
        <f>$G$2 + $G$3*(1-EXP(-$G$5*A28))/(A28*$G$5) + $G$4*(1-($G$5*A28+1)*EXP(-$G$5*A28))/(A28*$G$5^2)</f>
        <v>3.6916918502850657E-2</v>
      </c>
      <c r="C28" s="1" cm="1">
        <f t="array" ref="C28">((B28+1)/(1 - B28*SUMPRODUCT(1/(1+$C$17:C27)^($A$17:A27))))^(1/A28) - 1</f>
        <v>3.8104418739291157E-2</v>
      </c>
    </row>
    <row r="29" spans="1:3" x14ac:dyDescent="0.3">
      <c r="A29" s="1">
        <v>13</v>
      </c>
      <c r="B29" s="1">
        <f>$G$2 + $G$3*(1-EXP(-$G$5*A29))/(A29*$G$5) + $G$4*(1-($G$5*A29+1)*EXP(-$G$5*A29))/(A29*$G$5^2)</f>
        <v>3.7802580519683535E-2</v>
      </c>
      <c r="C29" s="1" cm="1">
        <f t="array" ref="C29">((B29+1)/(1 - B29*SUMPRODUCT(1/(1+$C$17:C28)^($A$17:A28))))^(1/A29) - 1</f>
        <v>3.917420051552889E-2</v>
      </c>
    </row>
    <row r="30" spans="1:3" x14ac:dyDescent="0.3">
      <c r="A30" s="1">
        <v>14</v>
      </c>
      <c r="B30" s="1">
        <f>$G$2 + $G$3*(1-EXP(-$G$5*A30))/(A30*$G$5) + $G$4*(1-($G$5*A30+1)*EXP(-$G$5*A30))/(A30*$G$5^2)</f>
        <v>3.8613422738049158E-2</v>
      </c>
      <c r="C30" s="1" cm="1">
        <f t="array" ref="C30">((B30+1)/(1 - B30*SUMPRODUCT(1/(1+$C$17:C29)^($A$17:A29))))^(1/A30) - 1</f>
        <v>4.0173491138157935E-2</v>
      </c>
    </row>
    <row r="31" spans="1:3" x14ac:dyDescent="0.3">
      <c r="A31" s="1">
        <v>15</v>
      </c>
      <c r="B31" s="2">
        <v>3.95E-2</v>
      </c>
      <c r="C31" s="1" cm="1">
        <f t="array" ref="C31">((B31+1)/(1 - B31*SUMPRODUCT(1/(1+$C$17:C30)^($A$17:A30))))^(1/A31) - 1</f>
        <v>4.1310613673975149E-2</v>
      </c>
    </row>
    <row r="32" spans="1:3" x14ac:dyDescent="0.3">
      <c r="A32" s="1">
        <v>16</v>
      </c>
      <c r="B32" s="1">
        <f>$G$2 + $G$3*(1-EXP(-$G$5*A32))/(A32*$G$5) + $G$4*(1-($G$5*A32+1)*EXP(-$G$5*A32))/(A32*$G$5^2)</f>
        <v>4.0028534350423202E-2</v>
      </c>
      <c r="C32" s="1" cm="1">
        <f t="array" ref="C32">((B32+1)/(1 - B32*SUMPRODUCT(1/(1+$C$17:C31)^($A$17:A31))))^(1/A32) - 1</f>
        <v>4.1962133281227443E-2</v>
      </c>
    </row>
    <row r="33" spans="1:3" x14ac:dyDescent="0.3">
      <c r="A33" s="1">
        <v>17</v>
      </c>
      <c r="B33" s="1">
        <f>$G$2 + $G$3*(1-EXP(-$G$5*A33))/(A33*$G$5) + $G$4*(1-($G$5*A33+1)*EXP(-$G$5*A33))/(A33*$G$5^2)</f>
        <v>4.0641128947202829E-2</v>
      </c>
      <c r="C33" s="1" cm="1">
        <f t="array" ref="C33">((B33+1)/(1 - B33*SUMPRODUCT(1/(1+$C$17:C32)^($A$17:A32))))^(1/A33) - 1</f>
        <v>4.2763612279891117E-2</v>
      </c>
    </row>
    <row r="34" spans="1:3" x14ac:dyDescent="0.3">
      <c r="A34" s="1">
        <v>18</v>
      </c>
      <c r="B34" s="1">
        <f>$G$2 + $G$3*(1-EXP(-$G$5*A34))/(A34*$G$5) + $G$4*(1-($G$5*A34+1)*EXP(-$G$5*A34))/(A34*$G$5^2)</f>
        <v>4.1195580640008084E-2</v>
      </c>
      <c r="C34" s="1" cm="1">
        <f t="array" ref="C34">((B34+1)/(1 - B34*SUMPRODUCT(1/(1+$C$17:C33)^($A$17:A33))))^(1/A34) - 1</f>
        <v>4.3502760542201591E-2</v>
      </c>
    </row>
    <row r="35" spans="1:3" x14ac:dyDescent="0.3">
      <c r="A35" s="1">
        <v>19</v>
      </c>
      <c r="B35" s="1">
        <f>$G$2 + $G$3*(1-EXP(-$G$5*A35))/(A35*$G$5) + $G$4*(1-($G$5*A35+1)*EXP(-$G$5*A35))/(A35*$G$5^2)</f>
        <v>4.1695492325497865E-2</v>
      </c>
      <c r="C35" s="1" cm="1">
        <f t="array" ref="C35">((B35+1)/(1 - B35*SUMPRODUCT(1/(1+$C$17:C34)^($A$17:A34))))^(1/A35) - 1</f>
        <v>4.4181115929387227E-2</v>
      </c>
    </row>
    <row r="36" spans="1:3" x14ac:dyDescent="0.3">
      <c r="A36" s="1">
        <v>20</v>
      </c>
      <c r="B36" s="2">
        <v>4.1799999999999997E-2</v>
      </c>
      <c r="C36" s="1" cm="1">
        <f t="array" ref="C36">((B36+1)/(1 - B36*SUMPRODUCT(1/(1+$C$17:C35)^($A$17:A35))))^(1/A36) - 1</f>
        <v>4.4228872798862451E-2</v>
      </c>
    </row>
    <row r="37" spans="1:3" x14ac:dyDescent="0.3">
      <c r="A37" s="1">
        <v>21</v>
      </c>
      <c r="B37" s="1">
        <f>$G$2 + $G$3*(1-EXP(-$G$5*A37))/(A37*$G$5) + $G$4*(1-($G$5*A37+1)*EXP(-$G$5*A37))/(A37*$G$5^2)</f>
        <v>4.2545106066132155E-2</v>
      </c>
      <c r="C37" s="1" cm="1">
        <f t="array" ref="C37">((B37+1)/(1 - B37*SUMPRODUCT(1/(1+$C$17:C36)^($A$17:A36))))^(1/A37) - 1</f>
        <v>4.5384464266112756E-2</v>
      </c>
    </row>
    <row r="38" spans="1:3" x14ac:dyDescent="0.3">
      <c r="A38" s="1">
        <v>22</v>
      </c>
      <c r="B38" s="1">
        <f>$G$2 + $G$3*(1-EXP(-$G$5*A38))/(A38*$G$5) + $G$4*(1-($G$5*A38+1)*EXP(-$G$5*A38))/(A38*$G$5^2)</f>
        <v>4.2901044969234109E-2</v>
      </c>
      <c r="C38" s="1" cm="1">
        <f t="array" ref="C38">((B38+1)/(1 - B38*SUMPRODUCT(1/(1+$C$17:C37)^($A$17:A37))))^(1/A38) - 1</f>
        <v>4.5887668903037193E-2</v>
      </c>
    </row>
    <row r="39" spans="1:3" x14ac:dyDescent="0.3">
      <c r="A39" s="1">
        <v>23</v>
      </c>
      <c r="B39" s="1">
        <f>$G$2 + $G$3*(1-EXP(-$G$5*A39))/(A39*$G$5) + $G$4*(1-($G$5*A39+1)*EXP(-$G$5*A39))/(A39*$G$5^2)</f>
        <v>4.3214937736869116E-2</v>
      </c>
      <c r="C39" s="1" cm="1">
        <f t="array" ref="C39">((B39+1)/(1 - B39*SUMPRODUCT(1/(1+$C$17:C38)^($A$17:A38))))^(1/A39) - 1</f>
        <v>4.6334948010592125E-2</v>
      </c>
    </row>
    <row r="40" spans="1:3" x14ac:dyDescent="0.3">
      <c r="A40" s="1">
        <v>24</v>
      </c>
      <c r="B40" s="1">
        <f>$G$2 + $G$3*(1-EXP(-$G$5*A40))/(A40*$G$5) + $G$4*(1-($G$5*A40+1)*EXP(-$G$5*A40))/(A40*$G$5^2)</f>
        <v>4.3489478907454145E-2</v>
      </c>
      <c r="C40" s="1" cm="1">
        <f t="array" ref="C40">((B40+1)/(1 - B40*SUMPRODUCT(1/(1+$C$17:C39)^($A$17:A39))))^(1/A40) - 1</f>
        <v>4.6727293939964776E-2</v>
      </c>
    </row>
    <row r="41" spans="1:3" x14ac:dyDescent="0.3">
      <c r="A41" s="1">
        <v>25</v>
      </c>
      <c r="B41" s="2">
        <v>4.36E-2</v>
      </c>
      <c r="C41" s="1" cm="1">
        <f t="array" ref="C41">((B41+1)/(1 - B41*SUMPRODUCT(1/(1+$C$17:C40)^($A$17:A40))))^(1/A41) - 1</f>
        <v>4.6814544084497367E-2</v>
      </c>
    </row>
    <row r="42" spans="1:3" x14ac:dyDescent="0.3">
      <c r="A42" s="1">
        <v>26</v>
      </c>
      <c r="B42" s="1">
        <f>$G$2 + $G$3*(1-EXP(-$G$5*A42))/(A42*$G$5) + $G$4*(1-($G$5*A42+1)*EXP(-$G$5*A42))/(A42*$G$5^2)</f>
        <v>4.3930526849776635E-2</v>
      </c>
      <c r="C42" s="1" cm="1">
        <f t="array" ref="C42">((B42+1)/(1 - B42*SUMPRODUCT(1/(1+$C$17:C41)^($A$17:A41))))^(1/A42) - 1</f>
        <v>4.7361725794575094E-2</v>
      </c>
    </row>
    <row r="43" spans="1:3" x14ac:dyDescent="0.3">
      <c r="A43" s="1">
        <v>27</v>
      </c>
      <c r="B43" s="1">
        <f>$G$2 + $G$3*(1-EXP(-$G$5*A43))/(A43*$G$5) + $G$4*(1-($G$5*A43+1)*EXP(-$G$5*A43))/(A43*$G$5^2)</f>
        <v>4.4101689484808956E-2</v>
      </c>
      <c r="C43" s="1" cm="1">
        <f t="array" ref="C43">((B43+1)/(1 - B43*SUMPRODUCT(1/(1+$C$17:C42)^($A$17:A42))))^(1/A43) - 1</f>
        <v>4.7594664320433688E-2</v>
      </c>
    </row>
    <row r="44" spans="1:3" x14ac:dyDescent="0.3">
      <c r="A44" s="1">
        <v>28</v>
      </c>
      <c r="B44" s="1">
        <f>$G$2 + $G$3*(1-EXP(-$G$5*A44))/(A44*$G$5) + $G$4*(1-($G$5*A44+1)*EXP(-$G$5*A44))/(A44*$G$5^2)</f>
        <v>4.4242827603715708E-2</v>
      </c>
      <c r="C44" s="1" cm="1">
        <f t="array" ref="C44">((B44+1)/(1 - B44*SUMPRODUCT(1/(1+$C$17:C43)^($A$17:A43))))^(1/A44) - 1</f>
        <v>4.7776443929549384E-2</v>
      </c>
    </row>
    <row r="45" spans="1:3" x14ac:dyDescent="0.3">
      <c r="A45" s="1">
        <v>29</v>
      </c>
      <c r="B45" s="1">
        <f>$G$2 + $G$3*(1-EXP(-$G$5*A45))/(A45*$G$5) + $G$4*(1-($G$5*A45+1)*EXP(-$G$5*A45))/(A45*$G$5^2)</f>
        <v>4.4355948639761313E-2</v>
      </c>
      <c r="C45" s="1" cm="1">
        <f t="array" ref="C45">((B45+1)/(1 - B45*SUMPRODUCT(1/(1+$C$17:C44)^($A$17:A44))))^(1/A45) - 1</f>
        <v>4.7908059605566322E-2</v>
      </c>
    </row>
    <row r="46" spans="1:3" x14ac:dyDescent="0.3">
      <c r="A46" s="1">
        <v>30</v>
      </c>
      <c r="B46" s="2">
        <v>4.4600000000000001E-2</v>
      </c>
      <c r="C46" s="1" cm="1">
        <f t="array" ref="C46">((B46+1)/(1 - B46*SUMPRODUCT(1/(1+$C$17:C45)^($A$17:A45))))^(1/A46) - 1</f>
        <v>4.8356596308735345E-2</v>
      </c>
    </row>
    <row r="49" spans="1:18" x14ac:dyDescent="0.3">
      <c r="A49" s="3" t="s">
        <v>15</v>
      </c>
      <c r="B49" s="3" t="s">
        <v>16</v>
      </c>
      <c r="C49" s="3" t="s">
        <v>14</v>
      </c>
      <c r="D49" s="3" t="s">
        <v>17</v>
      </c>
      <c r="E49" s="3" t="s">
        <v>32</v>
      </c>
      <c r="F49" s="3" t="s">
        <v>18</v>
      </c>
      <c r="G49" s="3" t="s">
        <v>33</v>
      </c>
      <c r="H49" s="3" t="s">
        <v>35</v>
      </c>
      <c r="I49" s="3" t="s">
        <v>34</v>
      </c>
      <c r="J49" s="3" t="s">
        <v>36</v>
      </c>
      <c r="L49" s="3" t="s">
        <v>27</v>
      </c>
      <c r="M49" s="3" t="s">
        <v>20</v>
      </c>
      <c r="N49" s="1"/>
      <c r="O49" s="10" t="s">
        <v>21</v>
      </c>
      <c r="P49" s="1"/>
      <c r="Q49" s="10" t="s">
        <v>24</v>
      </c>
      <c r="R49" s="11" t="s">
        <v>28</v>
      </c>
    </row>
    <row r="50" spans="1:18" x14ac:dyDescent="0.3">
      <c r="A50" s="1">
        <v>1</v>
      </c>
      <c r="B50" s="1">
        <v>33600</v>
      </c>
      <c r="C50" s="1">
        <v>140597.79902455877</v>
      </c>
      <c r="D50" s="1">
        <f>C50-B50</f>
        <v>106997.79902455877</v>
      </c>
      <c r="E50" s="5">
        <f t="shared" ref="E50:E79" si="3">C17</f>
        <v>2.1299999999999999E-2</v>
      </c>
      <c r="F50" s="1">
        <f t="shared" ref="F50:F79" si="4">D50/(1+E50)^A50</f>
        <v>104766.27731769193</v>
      </c>
      <c r="G50" s="5">
        <f>E50+1%</f>
        <v>3.1300000000000001E-2</v>
      </c>
      <c r="H50" s="1">
        <f>D50/(1+G50)^A50</f>
        <v>103750.4111553949</v>
      </c>
      <c r="I50" s="5">
        <f>E50-1%</f>
        <v>1.1299999999999999E-2</v>
      </c>
      <c r="J50" s="1">
        <f>D50/(1+I50)^A50</f>
        <v>105802.23378281298</v>
      </c>
      <c r="L50" s="1">
        <v>0</v>
      </c>
      <c r="M50" s="1">
        <f>-F80</f>
        <v>-1641132.554284028</v>
      </c>
      <c r="N50" s="1"/>
      <c r="O50" s="10"/>
      <c r="P50" s="1"/>
      <c r="Q50" s="10"/>
      <c r="R50" s="11"/>
    </row>
    <row r="51" spans="1:18" x14ac:dyDescent="0.3">
      <c r="A51" s="1">
        <v>2</v>
      </c>
      <c r="B51" s="1">
        <v>95875.9239894934</v>
      </c>
      <c r="C51" s="1">
        <v>236444.60886732148</v>
      </c>
      <c r="D51" s="1">
        <f t="shared" ref="D51:D79" si="5">C51-B51</f>
        <v>140568.68487782808</v>
      </c>
      <c r="E51" s="5">
        <f t="shared" si="3"/>
        <v>2.2412333492532577E-2</v>
      </c>
      <c r="F51" s="1">
        <f t="shared" si="4"/>
        <v>134473.4112967946</v>
      </c>
      <c r="G51" s="5">
        <f t="shared" ref="G51:G79" si="6">E51+1%</f>
        <v>3.2412333492532579E-2</v>
      </c>
      <c r="H51" s="1">
        <f t="shared" ref="H51:H79" si="7">D51/(1+G51)^A51</f>
        <v>131880.99451332956</v>
      </c>
      <c r="I51" s="5">
        <f t="shared" ref="I51:I79" si="8">E51-1%</f>
        <v>1.2412333492532577E-2</v>
      </c>
      <c r="J51" s="1">
        <f t="shared" ref="J51:J79" si="9">D51/(1+I51)^A51</f>
        <v>137143.02585120959</v>
      </c>
      <c r="L51" s="1">
        <v>1</v>
      </c>
      <c r="M51" s="1">
        <f t="shared" ref="M51:M80" si="10">D50</f>
        <v>106997.79902455877</v>
      </c>
      <c r="N51" s="1"/>
      <c r="O51" s="1">
        <f t="shared" ref="O51:O80" si="11">1/(1+$M$81)^L51</f>
        <v>0.96372882502750568</v>
      </c>
      <c r="P51" s="1"/>
      <c r="Q51" s="1">
        <f>M51*O51</f>
        <v>103116.86313446722</v>
      </c>
      <c r="R51" s="1">
        <f>L51*(1+L51)</f>
        <v>2</v>
      </c>
    </row>
    <row r="52" spans="1:18" x14ac:dyDescent="0.3">
      <c r="A52" s="1">
        <v>3</v>
      </c>
      <c r="B52" s="1">
        <v>112727.43364371607</v>
      </c>
      <c r="C52" s="1">
        <v>257727.09695040379</v>
      </c>
      <c r="D52" s="1">
        <f t="shared" si="5"/>
        <v>144999.66330668773</v>
      </c>
      <c r="E52" s="5">
        <f t="shared" si="3"/>
        <v>2.4252949665289014E-2</v>
      </c>
      <c r="F52" s="1">
        <f t="shared" si="4"/>
        <v>134941.43487665322</v>
      </c>
      <c r="G52" s="5">
        <f t="shared" si="6"/>
        <v>3.4252949665289016E-2</v>
      </c>
      <c r="H52" s="1">
        <f t="shared" si="7"/>
        <v>131064.98715898335</v>
      </c>
      <c r="I52" s="5">
        <f t="shared" si="8"/>
        <v>1.4252949665289014E-2</v>
      </c>
      <c r="J52" s="1">
        <f t="shared" si="9"/>
        <v>138972.27133404685</v>
      </c>
      <c r="L52" s="1">
        <v>2</v>
      </c>
      <c r="M52" s="1">
        <f t="shared" si="10"/>
        <v>140568.68487782808</v>
      </c>
      <c r="N52" s="1"/>
      <c r="O52" s="1">
        <f t="shared" si="11"/>
        <v>0.92877324818889662</v>
      </c>
      <c r="P52" s="1"/>
      <c r="Q52" s="1">
        <f t="shared" ref="Q52:Q80" si="12">M52*O52</f>
        <v>130556.43404762182</v>
      </c>
      <c r="R52" s="1">
        <f>L52*(1+L52)</f>
        <v>6</v>
      </c>
    </row>
    <row r="53" spans="1:18" x14ac:dyDescent="0.3">
      <c r="A53" s="1">
        <v>4</v>
      </c>
      <c r="B53" s="1">
        <v>112930.28839318913</v>
      </c>
      <c r="C53" s="1">
        <v>262894.99489419034</v>
      </c>
      <c r="D53" s="1">
        <f t="shared" si="5"/>
        <v>149964.7065010012</v>
      </c>
      <c r="E53" s="5">
        <f t="shared" si="3"/>
        <v>2.6635639889285301E-2</v>
      </c>
      <c r="F53" s="1">
        <f t="shared" si="4"/>
        <v>134996.87479762954</v>
      </c>
      <c r="G53" s="5">
        <f t="shared" si="6"/>
        <v>3.6635639889285303E-2</v>
      </c>
      <c r="H53" s="1">
        <f t="shared" si="7"/>
        <v>129862.72689461808</v>
      </c>
      <c r="I53" s="5">
        <f t="shared" si="8"/>
        <v>1.6635639889285299E-2</v>
      </c>
      <c r="J53" s="1">
        <f t="shared" si="9"/>
        <v>140387.27352052543</v>
      </c>
      <c r="L53" s="1">
        <v>3</v>
      </c>
      <c r="M53" s="1">
        <f t="shared" si="10"/>
        <v>144999.66330668773</v>
      </c>
      <c r="N53" s="1"/>
      <c r="O53" s="1">
        <f t="shared" si="11"/>
        <v>0.89508555119406519</v>
      </c>
      <c r="P53" s="1"/>
      <c r="Q53" s="1">
        <f t="shared" si="12"/>
        <v>129787.10355382045</v>
      </c>
      <c r="R53" s="1">
        <f>L53*(1+L53)</f>
        <v>12</v>
      </c>
    </row>
    <row r="54" spans="1:18" x14ac:dyDescent="0.3">
      <c r="A54" s="1">
        <v>5</v>
      </c>
      <c r="B54" s="1">
        <v>89406.681897324437</v>
      </c>
      <c r="C54" s="1">
        <v>244500.60464796238</v>
      </c>
      <c r="D54" s="1">
        <f t="shared" si="5"/>
        <v>155093.92275063792</v>
      </c>
      <c r="E54" s="5">
        <f t="shared" si="3"/>
        <v>2.8097108811007576E-2</v>
      </c>
      <c r="F54" s="1">
        <f t="shared" si="4"/>
        <v>135028.07970925613</v>
      </c>
      <c r="G54" s="5">
        <f t="shared" si="6"/>
        <v>3.8097108811007578E-2</v>
      </c>
      <c r="H54" s="1">
        <f t="shared" si="7"/>
        <v>128648.54333358489</v>
      </c>
      <c r="I54" s="5">
        <f t="shared" si="8"/>
        <v>1.8097108811007574E-2</v>
      </c>
      <c r="J54" s="1">
        <f t="shared" si="9"/>
        <v>141791.03084446161</v>
      </c>
      <c r="L54" s="1">
        <v>4</v>
      </c>
      <c r="M54" s="1">
        <f t="shared" si="10"/>
        <v>149964.7065010012</v>
      </c>
      <c r="N54" s="1"/>
      <c r="O54" s="1">
        <f t="shared" si="11"/>
        <v>0.86261974655135365</v>
      </c>
      <c r="P54" s="1"/>
      <c r="Q54" s="1">
        <f t="shared" si="12"/>
        <v>129362.51711354179</v>
      </c>
      <c r="R54" s="1">
        <f t="shared" ref="R54:R79" si="13">L54*(1+L54)</f>
        <v>20</v>
      </c>
    </row>
    <row r="55" spans="1:18" x14ac:dyDescent="0.3">
      <c r="A55" s="1">
        <v>6</v>
      </c>
      <c r="B55" s="1">
        <v>107858.13500177029</v>
      </c>
      <c r="C55" s="1">
        <v>256796.47634501441</v>
      </c>
      <c r="D55" s="1">
        <f t="shared" si="5"/>
        <v>148938.34134324413</v>
      </c>
      <c r="E55" s="5">
        <f t="shared" si="3"/>
        <v>3.0062510907592044E-2</v>
      </c>
      <c r="F55" s="1">
        <f t="shared" si="4"/>
        <v>124688.10512464697</v>
      </c>
      <c r="G55" s="5">
        <f t="shared" si="6"/>
        <v>4.0062510907592046E-2</v>
      </c>
      <c r="H55" s="1">
        <f t="shared" si="7"/>
        <v>117665.69328650281</v>
      </c>
      <c r="I55" s="5">
        <f t="shared" si="8"/>
        <v>2.0062510907592042E-2</v>
      </c>
      <c r="J55" s="1">
        <f t="shared" si="9"/>
        <v>132204.36434607001</v>
      </c>
      <c r="L55" s="1">
        <v>5</v>
      </c>
      <c r="M55" s="1">
        <f t="shared" si="10"/>
        <v>155093.92275063792</v>
      </c>
      <c r="N55" s="1"/>
      <c r="O55" s="1">
        <f t="shared" si="11"/>
        <v>0.83133151478946077</v>
      </c>
      <c r="P55" s="1"/>
      <c r="Q55" s="1">
        <f t="shared" si="12"/>
        <v>128934.46573492743</v>
      </c>
      <c r="R55" s="1">
        <f t="shared" si="13"/>
        <v>30</v>
      </c>
    </row>
    <row r="56" spans="1:18" x14ac:dyDescent="0.3">
      <c r="A56" s="1">
        <v>7</v>
      </c>
      <c r="B56" s="1">
        <v>46471.030491275691</v>
      </c>
      <c r="C56" s="1">
        <v>193458.92690386332</v>
      </c>
      <c r="D56" s="1">
        <f t="shared" si="5"/>
        <v>146987.89641258764</v>
      </c>
      <c r="E56" s="5">
        <f t="shared" si="3"/>
        <v>3.1635652322468566E-2</v>
      </c>
      <c r="F56" s="1">
        <f t="shared" si="4"/>
        <v>118194.4752904065</v>
      </c>
      <c r="G56" s="5">
        <f t="shared" si="6"/>
        <v>4.1635652322468568E-2</v>
      </c>
      <c r="H56" s="1">
        <f t="shared" si="7"/>
        <v>110476.70717194778</v>
      </c>
      <c r="I56" s="5">
        <f t="shared" si="8"/>
        <v>2.1635652322468564E-2</v>
      </c>
      <c r="J56" s="1">
        <f t="shared" si="9"/>
        <v>126534.59898922604</v>
      </c>
      <c r="L56" s="1">
        <v>6</v>
      </c>
      <c r="M56" s="1">
        <f t="shared" si="10"/>
        <v>148938.34134324413</v>
      </c>
      <c r="N56" s="1"/>
      <c r="O56" s="1">
        <f t="shared" si="11"/>
        <v>0.80117814395638343</v>
      </c>
      <c r="P56" s="1"/>
      <c r="Q56" s="1">
        <f t="shared" si="12"/>
        <v>119326.14388132261</v>
      </c>
      <c r="R56" s="1">
        <f t="shared" si="13"/>
        <v>42</v>
      </c>
    </row>
    <row r="57" spans="1:18" x14ac:dyDescent="0.3">
      <c r="A57" s="1">
        <v>8</v>
      </c>
      <c r="B57" s="1">
        <v>63063.481057747944</v>
      </c>
      <c r="C57" s="1">
        <v>190346.19996999908</v>
      </c>
      <c r="D57" s="1">
        <f t="shared" si="5"/>
        <v>127282.71891225115</v>
      </c>
      <c r="E57" s="5">
        <f t="shared" si="3"/>
        <v>3.3089667924221411E-2</v>
      </c>
      <c r="F57" s="1">
        <f t="shared" si="4"/>
        <v>98099.162291952438</v>
      </c>
      <c r="G57" s="5">
        <f t="shared" si="6"/>
        <v>4.3089667924221413E-2</v>
      </c>
      <c r="H57" s="1">
        <f t="shared" si="7"/>
        <v>90823.094462035719</v>
      </c>
      <c r="I57" s="5">
        <f t="shared" si="8"/>
        <v>2.3089667924221409E-2</v>
      </c>
      <c r="J57" s="1">
        <f t="shared" si="9"/>
        <v>106037.59117785525</v>
      </c>
      <c r="L57" s="1">
        <v>7</v>
      </c>
      <c r="M57" s="1">
        <f t="shared" si="10"/>
        <v>146987.89641258764</v>
      </c>
      <c r="N57" s="1"/>
      <c r="O57" s="1">
        <f t="shared" si="11"/>
        <v>0.77211847131280309</v>
      </c>
      <c r="P57" s="1"/>
      <c r="Q57" s="1">
        <f t="shared" si="12"/>
        <v>113492.06987957182</v>
      </c>
      <c r="R57" s="1">
        <f t="shared" si="13"/>
        <v>56</v>
      </c>
    </row>
    <row r="58" spans="1:18" x14ac:dyDescent="0.3">
      <c r="A58" s="1">
        <v>9</v>
      </c>
      <c r="B58" s="1">
        <v>77631.734925895042</v>
      </c>
      <c r="C58" s="1">
        <v>206019.64682010282</v>
      </c>
      <c r="D58" s="1">
        <f t="shared" si="5"/>
        <v>128387.91189420778</v>
      </c>
      <c r="E58" s="5">
        <f t="shared" si="3"/>
        <v>3.4470123386384E-2</v>
      </c>
      <c r="F58" s="1">
        <f t="shared" si="4"/>
        <v>94637.348712343577</v>
      </c>
      <c r="G58" s="5">
        <f t="shared" si="6"/>
        <v>4.4470123386384001E-2</v>
      </c>
      <c r="H58" s="1">
        <f t="shared" si="7"/>
        <v>86788.051960877609</v>
      </c>
      <c r="I58" s="5">
        <f t="shared" si="8"/>
        <v>2.4470123386383998E-2</v>
      </c>
      <c r="J58" s="1">
        <f t="shared" si="9"/>
        <v>103283.38361001803</v>
      </c>
      <c r="L58" s="1">
        <v>8</v>
      </c>
      <c r="M58" s="1">
        <f t="shared" si="10"/>
        <v>127282.71891225115</v>
      </c>
      <c r="N58" s="1"/>
      <c r="O58" s="1">
        <f t="shared" si="11"/>
        <v>0.74411282714032156</v>
      </c>
      <c r="P58" s="1"/>
      <c r="Q58" s="1">
        <f t="shared" si="12"/>
        <v>94712.703815902074</v>
      </c>
      <c r="R58" s="1">
        <f t="shared" si="13"/>
        <v>72</v>
      </c>
    </row>
    <row r="59" spans="1:18" x14ac:dyDescent="0.3">
      <c r="A59" s="1">
        <v>10</v>
      </c>
      <c r="B59" s="1">
        <v>104275.0933485159</v>
      </c>
      <c r="C59" s="1">
        <v>221439.56097577856</v>
      </c>
      <c r="D59" s="1">
        <f t="shared" si="5"/>
        <v>117164.46762726265</v>
      </c>
      <c r="E59" s="5">
        <f t="shared" si="3"/>
        <v>3.6492332998302679E-2</v>
      </c>
      <c r="F59" s="1">
        <f t="shared" si="4"/>
        <v>81871.921674365469</v>
      </c>
      <c r="G59" s="5">
        <f t="shared" si="6"/>
        <v>4.6492332998302681E-2</v>
      </c>
      <c r="H59" s="1">
        <f t="shared" si="7"/>
        <v>74376.444716553378</v>
      </c>
      <c r="I59" s="5">
        <f t="shared" si="8"/>
        <v>2.6492332998302677E-2</v>
      </c>
      <c r="J59" s="1">
        <f t="shared" si="9"/>
        <v>90206.705995855285</v>
      </c>
      <c r="L59" s="1">
        <v>9</v>
      </c>
      <c r="M59" s="1">
        <f t="shared" si="10"/>
        <v>128387.91189420778</v>
      </c>
      <c r="N59" s="1"/>
      <c r="O59" s="1">
        <f t="shared" si="11"/>
        <v>0.71712298058783763</v>
      </c>
      <c r="P59" s="1"/>
      <c r="Q59" s="1">
        <f t="shared" si="12"/>
        <v>92069.922049022978</v>
      </c>
      <c r="R59" s="1">
        <f t="shared" si="13"/>
        <v>90</v>
      </c>
    </row>
    <row r="60" spans="1:18" x14ac:dyDescent="0.3">
      <c r="A60" s="1">
        <v>11</v>
      </c>
      <c r="B60" s="1">
        <v>10650</v>
      </c>
      <c r="C60" s="1">
        <v>109423.55523221871</v>
      </c>
      <c r="D60" s="1">
        <f t="shared" si="5"/>
        <v>98773.555232218714</v>
      </c>
      <c r="E60" s="5">
        <f t="shared" si="3"/>
        <v>3.6961444094050666E-2</v>
      </c>
      <c r="F60" s="1">
        <f t="shared" si="4"/>
        <v>66260.08487598467</v>
      </c>
      <c r="G60" s="5">
        <f t="shared" si="6"/>
        <v>4.6961444094050668E-2</v>
      </c>
      <c r="H60" s="1">
        <f t="shared" si="7"/>
        <v>59621.529519792217</v>
      </c>
      <c r="I60" s="5">
        <f t="shared" si="8"/>
        <v>2.6961444094050664E-2</v>
      </c>
      <c r="J60" s="1">
        <f t="shared" si="9"/>
        <v>73713.181863034362</v>
      </c>
      <c r="L60" s="1">
        <v>10</v>
      </c>
      <c r="M60" s="1">
        <f t="shared" si="10"/>
        <v>117164.46762726265</v>
      </c>
      <c r="N60" s="1"/>
      <c r="O60" s="1">
        <f t="shared" si="11"/>
        <v>0.69111208748213948</v>
      </c>
      <c r="P60" s="1"/>
      <c r="Q60" s="1">
        <f t="shared" si="12"/>
        <v>80973.779800611039</v>
      </c>
      <c r="R60" s="1">
        <f t="shared" si="13"/>
        <v>110</v>
      </c>
    </row>
    <row r="61" spans="1:18" x14ac:dyDescent="0.3">
      <c r="A61" s="1">
        <v>12</v>
      </c>
      <c r="B61" s="1">
        <v>11672.91165422562</v>
      </c>
      <c r="C61" s="1">
        <v>104546.38667492395</v>
      </c>
      <c r="D61" s="1">
        <f t="shared" si="5"/>
        <v>92873.47502069833</v>
      </c>
      <c r="E61" s="5">
        <f t="shared" si="3"/>
        <v>3.8104418739291157E-2</v>
      </c>
      <c r="F61" s="1">
        <f t="shared" si="4"/>
        <v>59292.425972377838</v>
      </c>
      <c r="G61" s="5">
        <f t="shared" si="6"/>
        <v>4.8104418739291159E-2</v>
      </c>
      <c r="H61" s="1">
        <f t="shared" si="7"/>
        <v>52849.036301995147</v>
      </c>
      <c r="I61" s="5">
        <f t="shared" si="8"/>
        <v>2.8104418739291155E-2</v>
      </c>
      <c r="J61" s="1">
        <f t="shared" si="9"/>
        <v>66595.515798182198</v>
      </c>
      <c r="L61" s="1">
        <v>11</v>
      </c>
      <c r="M61" s="1">
        <f t="shared" si="10"/>
        <v>98773.555232218714</v>
      </c>
      <c r="N61" s="1"/>
      <c r="O61" s="1">
        <f t="shared" si="11"/>
        <v>0.6660446400314689</v>
      </c>
      <c r="P61" s="1"/>
      <c r="Q61" s="1">
        <f t="shared" si="12"/>
        <v>65787.597039271524</v>
      </c>
      <c r="R61" s="1">
        <f t="shared" si="13"/>
        <v>132</v>
      </c>
    </row>
    <row r="62" spans="1:18" x14ac:dyDescent="0.3">
      <c r="A62" s="1">
        <v>13</v>
      </c>
      <c r="B62" s="1">
        <v>62368.160520166864</v>
      </c>
      <c r="C62" s="1">
        <v>131292.99911200017</v>
      </c>
      <c r="D62" s="1">
        <f t="shared" si="5"/>
        <v>68924.838591833308</v>
      </c>
      <c r="E62" s="5">
        <f t="shared" si="3"/>
        <v>3.917420051552889E-2</v>
      </c>
      <c r="F62" s="1">
        <f t="shared" si="4"/>
        <v>41824.150593059312</v>
      </c>
      <c r="G62" s="5">
        <f t="shared" si="6"/>
        <v>4.9174200515528892E-2</v>
      </c>
      <c r="H62" s="1">
        <f t="shared" si="7"/>
        <v>36928.096631970708</v>
      </c>
      <c r="I62" s="5">
        <f t="shared" si="8"/>
        <v>2.9174200515528888E-2</v>
      </c>
      <c r="J62" s="1">
        <f t="shared" si="9"/>
        <v>47426.402023027709</v>
      </c>
      <c r="L62" s="1">
        <v>12</v>
      </c>
      <c r="M62" s="1">
        <f t="shared" si="10"/>
        <v>92873.47502069833</v>
      </c>
      <c r="N62" s="1"/>
      <c r="O62" s="1">
        <f t="shared" si="11"/>
        <v>0.64188641835339544</v>
      </c>
      <c r="P62" s="1"/>
      <c r="Q62" s="1">
        <f t="shared" si="12"/>
        <v>59614.22224106959</v>
      </c>
      <c r="R62" s="1">
        <f t="shared" si="13"/>
        <v>156</v>
      </c>
    </row>
    <row r="63" spans="1:18" x14ac:dyDescent="0.3">
      <c r="A63" s="1">
        <v>14</v>
      </c>
      <c r="B63" s="1">
        <v>30750.111599508888</v>
      </c>
      <c r="C63" s="1">
        <v>100207.11908920678</v>
      </c>
      <c r="D63" s="1">
        <f t="shared" si="5"/>
        <v>69457.007489697891</v>
      </c>
      <c r="E63" s="5">
        <f t="shared" si="3"/>
        <v>4.0173491138157935E-2</v>
      </c>
      <c r="F63" s="1">
        <f t="shared" si="4"/>
        <v>40016.133763976577</v>
      </c>
      <c r="G63" s="5">
        <f t="shared" si="6"/>
        <v>5.0173491138157937E-2</v>
      </c>
      <c r="H63" s="1">
        <f t="shared" si="7"/>
        <v>34999.460301987703</v>
      </c>
      <c r="I63" s="5">
        <f t="shared" si="8"/>
        <v>3.0173491138157933E-2</v>
      </c>
      <c r="J63" s="1">
        <f t="shared" si="9"/>
        <v>45811.11737504699</v>
      </c>
      <c r="L63" s="1">
        <v>13</v>
      </c>
      <c r="M63" s="1">
        <f t="shared" si="10"/>
        <v>68924.838591833308</v>
      </c>
      <c r="N63" s="1"/>
      <c r="O63" s="1">
        <f t="shared" si="11"/>
        <v>0.61860444376083179</v>
      </c>
      <c r="P63" s="1"/>
      <c r="Q63" s="1">
        <f t="shared" si="12"/>
        <v>42637.211438406157</v>
      </c>
      <c r="R63" s="1">
        <f t="shared" si="13"/>
        <v>182</v>
      </c>
    </row>
    <row r="64" spans="1:18" x14ac:dyDescent="0.3">
      <c r="A64" s="1">
        <v>15</v>
      </c>
      <c r="B64" s="1">
        <v>31530.740324454593</v>
      </c>
      <c r="C64" s="1">
        <v>118614.70932741996</v>
      </c>
      <c r="D64" s="1">
        <f t="shared" si="5"/>
        <v>87083.969002965372</v>
      </c>
      <c r="E64" s="5">
        <f t="shared" si="3"/>
        <v>4.1310613673975149E-2</v>
      </c>
      <c r="F64" s="1">
        <f t="shared" si="4"/>
        <v>47449.734794843956</v>
      </c>
      <c r="G64" s="5">
        <f t="shared" si="6"/>
        <v>5.1310613673975151E-2</v>
      </c>
      <c r="H64" s="1">
        <f t="shared" si="7"/>
        <v>41112.366917949577</v>
      </c>
      <c r="I64" s="5">
        <f t="shared" si="8"/>
        <v>3.1310613673975148E-2</v>
      </c>
      <c r="J64" s="1">
        <f t="shared" si="9"/>
        <v>54839.805423320278</v>
      </c>
      <c r="L64" s="1">
        <v>14</v>
      </c>
      <c r="M64" s="1">
        <f t="shared" si="10"/>
        <v>69457.007489697891</v>
      </c>
      <c r="N64" s="1"/>
      <c r="O64" s="1">
        <f t="shared" si="11"/>
        <v>0.59616693374242002</v>
      </c>
      <c r="P64" s="1"/>
      <c r="Q64" s="1">
        <f t="shared" si="12"/>
        <v>41407.971182057496</v>
      </c>
      <c r="R64" s="1">
        <f t="shared" si="13"/>
        <v>210</v>
      </c>
    </row>
    <row r="65" spans="1:18" x14ac:dyDescent="0.3">
      <c r="A65" s="1">
        <v>16</v>
      </c>
      <c r="B65" s="1">
        <v>41346.025519472481</v>
      </c>
      <c r="C65" s="1">
        <v>110727.76475629112</v>
      </c>
      <c r="D65" s="1">
        <f t="shared" si="5"/>
        <v>69381.739236818627</v>
      </c>
      <c r="E65" s="5">
        <f t="shared" si="3"/>
        <v>4.1962133281227443E-2</v>
      </c>
      <c r="F65" s="1">
        <f t="shared" si="4"/>
        <v>35942.99005022159</v>
      </c>
      <c r="G65" s="5">
        <f t="shared" si="6"/>
        <v>5.1962133281227445E-2</v>
      </c>
      <c r="H65" s="1">
        <f t="shared" si="7"/>
        <v>30849.168916629867</v>
      </c>
      <c r="I65" s="5">
        <f t="shared" si="8"/>
        <v>3.1962133281227441E-2</v>
      </c>
      <c r="J65" s="1">
        <f t="shared" si="9"/>
        <v>41939.66879103925</v>
      </c>
      <c r="L65" s="1">
        <v>15</v>
      </c>
      <c r="M65" s="1">
        <f t="shared" si="10"/>
        <v>87083.969002965372</v>
      </c>
      <c r="N65" s="1"/>
      <c r="O65" s="1">
        <f t="shared" si="11"/>
        <v>0.57454325857583322</v>
      </c>
      <c r="P65" s="1"/>
      <c r="Q65" s="1">
        <f t="shared" si="12"/>
        <v>50033.507320680576</v>
      </c>
      <c r="R65" s="1">
        <f t="shared" si="13"/>
        <v>240</v>
      </c>
    </row>
    <row r="66" spans="1:18" x14ac:dyDescent="0.3">
      <c r="A66" s="1">
        <v>17</v>
      </c>
      <c r="B66" s="1">
        <v>48093.082684520276</v>
      </c>
      <c r="C66" s="1">
        <v>118366.82795301994</v>
      </c>
      <c r="D66" s="1">
        <f t="shared" si="5"/>
        <v>70273.745268499653</v>
      </c>
      <c r="E66" s="5">
        <f t="shared" si="3"/>
        <v>4.2763612279891117E-2</v>
      </c>
      <c r="F66" s="1">
        <f t="shared" si="4"/>
        <v>34485.247443964116</v>
      </c>
      <c r="G66" s="5">
        <f t="shared" si="6"/>
        <v>5.2763612279891119E-2</v>
      </c>
      <c r="H66" s="1">
        <f t="shared" si="7"/>
        <v>29320.298356961055</v>
      </c>
      <c r="I66" s="5">
        <f t="shared" si="8"/>
        <v>3.2763612279891115E-2</v>
      </c>
      <c r="J66" s="1">
        <f t="shared" si="9"/>
        <v>40623.498869224139</v>
      </c>
      <c r="L66" s="1">
        <v>16</v>
      </c>
      <c r="M66" s="1">
        <f t="shared" si="10"/>
        <v>69381.739236818627</v>
      </c>
      <c r="N66" s="1"/>
      <c r="O66" s="1">
        <f t="shared" si="11"/>
        <v>0.55370389951476218</v>
      </c>
      <c r="P66" s="1"/>
      <c r="Q66" s="1">
        <f t="shared" si="12"/>
        <v>38416.939570542854</v>
      </c>
      <c r="R66" s="1">
        <f t="shared" si="13"/>
        <v>272</v>
      </c>
    </row>
    <row r="67" spans="1:18" x14ac:dyDescent="0.3">
      <c r="A67" s="1">
        <v>18</v>
      </c>
      <c r="B67" s="1">
        <v>46570.063779140015</v>
      </c>
      <c r="C67" s="1">
        <v>101718.91819594475</v>
      </c>
      <c r="D67" s="1">
        <f t="shared" si="5"/>
        <v>55148.85441680473</v>
      </c>
      <c r="E67" s="5">
        <f t="shared" si="3"/>
        <v>4.3502760542201591E-2</v>
      </c>
      <c r="F67" s="1">
        <f t="shared" si="4"/>
        <v>25624.278972895554</v>
      </c>
      <c r="G67" s="5">
        <f t="shared" si="6"/>
        <v>5.3502760542201593E-2</v>
      </c>
      <c r="H67" s="1">
        <f t="shared" si="7"/>
        <v>21582.129414533269</v>
      </c>
      <c r="I67" s="5">
        <f t="shared" si="8"/>
        <v>3.3502760542201589E-2</v>
      </c>
      <c r="J67" s="1">
        <f t="shared" si="9"/>
        <v>30473.824188166745</v>
      </c>
      <c r="L67" s="1">
        <v>17</v>
      </c>
      <c r="M67" s="1">
        <f t="shared" si="10"/>
        <v>70273.745268499653</v>
      </c>
      <c r="N67" s="1"/>
      <c r="O67" s="1">
        <f t="shared" si="11"/>
        <v>0.53362040849250969</v>
      </c>
      <c r="P67" s="1"/>
      <c r="Q67" s="1">
        <f t="shared" si="12"/>
        <v>37499.504656475357</v>
      </c>
      <c r="R67" s="1">
        <f t="shared" si="13"/>
        <v>306</v>
      </c>
    </row>
    <row r="68" spans="1:18" x14ac:dyDescent="0.3">
      <c r="A68" s="1">
        <v>19</v>
      </c>
      <c r="B68" s="1">
        <v>15781.354026946763</v>
      </c>
      <c r="C68" s="1">
        <v>60625.065756337033</v>
      </c>
      <c r="D68" s="1">
        <f t="shared" si="5"/>
        <v>44843.71172939027</v>
      </c>
      <c r="E68" s="5">
        <f t="shared" si="3"/>
        <v>4.4181115929387227E-2</v>
      </c>
      <c r="F68" s="1">
        <f t="shared" si="4"/>
        <v>19722.442232671641</v>
      </c>
      <c r="G68" s="5">
        <f t="shared" si="6"/>
        <v>5.4181115929387229E-2</v>
      </c>
      <c r="H68" s="1">
        <f t="shared" si="7"/>
        <v>16455.540055998797</v>
      </c>
      <c r="I68" s="5">
        <f t="shared" si="8"/>
        <v>3.4181115929387225E-2</v>
      </c>
      <c r="J68" s="1">
        <f t="shared" si="9"/>
        <v>23679.148926795875</v>
      </c>
      <c r="L68" s="1">
        <v>18</v>
      </c>
      <c r="M68" s="1">
        <f t="shared" si="10"/>
        <v>55148.85441680473</v>
      </c>
      <c r="N68" s="1"/>
      <c r="O68" s="1">
        <f t="shared" si="11"/>
        <v>0.51426536928718403</v>
      </c>
      <c r="P68" s="1"/>
      <c r="Q68" s="1">
        <f t="shared" si="12"/>
        <v>28361.145982423233</v>
      </c>
      <c r="R68" s="1">
        <f t="shared" si="13"/>
        <v>342</v>
      </c>
    </row>
    <row r="69" spans="1:18" x14ac:dyDescent="0.3">
      <c r="A69" s="1">
        <v>20</v>
      </c>
      <c r="B69" s="1">
        <v>14860.134366518152</v>
      </c>
      <c r="C69" s="1">
        <v>62553.951411361195</v>
      </c>
      <c r="D69" s="1">
        <f t="shared" si="5"/>
        <v>47693.817044843046</v>
      </c>
      <c r="E69" s="5">
        <f t="shared" si="3"/>
        <v>4.4228872798862451E-2</v>
      </c>
      <c r="F69" s="1">
        <f t="shared" si="4"/>
        <v>20070.03532184954</v>
      </c>
      <c r="G69" s="5">
        <f t="shared" si="6"/>
        <v>5.4228872798862453E-2</v>
      </c>
      <c r="H69" s="1">
        <f t="shared" si="7"/>
        <v>16586.851438926271</v>
      </c>
      <c r="I69" s="5">
        <f t="shared" si="8"/>
        <v>3.4228872798862449E-2</v>
      </c>
      <c r="J69" s="1">
        <f t="shared" si="9"/>
        <v>24329.26133117505</v>
      </c>
      <c r="L69" s="1">
        <v>19</v>
      </c>
      <c r="M69" s="1">
        <f t="shared" si="10"/>
        <v>44843.71172939027</v>
      </c>
      <c r="N69" s="1"/>
      <c r="O69" s="1">
        <f t="shared" si="11"/>
        <v>0.49561236009547416</v>
      </c>
      <c r="P69" s="1"/>
      <c r="Q69" s="1">
        <f t="shared" si="12"/>
        <v>22225.097805644207</v>
      </c>
      <c r="R69" s="1">
        <f t="shared" si="13"/>
        <v>380</v>
      </c>
    </row>
    <row r="70" spans="1:18" x14ac:dyDescent="0.3">
      <c r="A70" s="1">
        <v>21</v>
      </c>
      <c r="B70" s="1">
        <v>13980.585515319342</v>
      </c>
      <c r="C70" s="1">
        <v>48486.207981462612</v>
      </c>
      <c r="D70" s="1">
        <f t="shared" si="5"/>
        <v>34505.622466143272</v>
      </c>
      <c r="E70" s="5">
        <f t="shared" si="3"/>
        <v>4.5384464266112756E-2</v>
      </c>
      <c r="F70" s="1">
        <f t="shared" si="4"/>
        <v>13586.04321720824</v>
      </c>
      <c r="G70" s="5">
        <f t="shared" si="6"/>
        <v>5.5384464266112758E-2</v>
      </c>
      <c r="H70" s="1">
        <f t="shared" si="7"/>
        <v>11124.108902383079</v>
      </c>
      <c r="I70" s="5">
        <f t="shared" si="8"/>
        <v>3.5384464266112754E-2</v>
      </c>
      <c r="J70" s="1">
        <f t="shared" si="9"/>
        <v>16624.758231501168</v>
      </c>
      <c r="L70" s="1">
        <v>20</v>
      </c>
      <c r="M70" s="1">
        <f t="shared" si="10"/>
        <v>47693.817044843046</v>
      </c>
      <c r="N70" s="1"/>
      <c r="O70" s="1">
        <f t="shared" si="11"/>
        <v>0.47763591746392026</v>
      </c>
      <c r="P70" s="1"/>
      <c r="Q70" s="1">
        <f t="shared" si="12"/>
        <v>22780.280061569967</v>
      </c>
      <c r="R70" s="1">
        <f t="shared" si="13"/>
        <v>420</v>
      </c>
    </row>
    <row r="71" spans="1:18" x14ac:dyDescent="0.3">
      <c r="A71" s="1">
        <v>22</v>
      </c>
      <c r="B71" s="1">
        <v>16427.948259602021</v>
      </c>
      <c r="C71" s="1">
        <v>58163.643692585509</v>
      </c>
      <c r="D71" s="1">
        <f t="shared" si="5"/>
        <v>41735.695432983484</v>
      </c>
      <c r="E71" s="5">
        <f t="shared" si="3"/>
        <v>4.5887668903037193E-2</v>
      </c>
      <c r="F71" s="1">
        <f t="shared" si="4"/>
        <v>15553.807365205723</v>
      </c>
      <c r="G71" s="5">
        <f t="shared" si="6"/>
        <v>5.5887668903037195E-2</v>
      </c>
      <c r="H71" s="1">
        <f t="shared" si="7"/>
        <v>12615.888954247001</v>
      </c>
      <c r="I71" s="5">
        <f t="shared" si="8"/>
        <v>3.5887668903037191E-2</v>
      </c>
      <c r="J71" s="1">
        <f t="shared" si="9"/>
        <v>19214.498850846714</v>
      </c>
      <c r="L71" s="1">
        <v>21</v>
      </c>
      <c r="M71" s="1">
        <f t="shared" si="10"/>
        <v>34505.622466143272</v>
      </c>
      <c r="N71" s="1"/>
      <c r="O71" s="1">
        <f t="shared" si="11"/>
        <v>0.46031150152843858</v>
      </c>
      <c r="P71" s="1"/>
      <c r="Q71" s="1">
        <f t="shared" si="12"/>
        <v>15883.334888563833</v>
      </c>
      <c r="R71" s="1">
        <f t="shared" si="13"/>
        <v>462</v>
      </c>
    </row>
    <row r="72" spans="1:18" x14ac:dyDescent="0.3">
      <c r="A72" s="1">
        <v>23</v>
      </c>
      <c r="B72" s="1">
        <v>27692.515125138136</v>
      </c>
      <c r="C72" s="1">
        <v>60984.22481743859</v>
      </c>
      <c r="D72" s="1">
        <f t="shared" si="5"/>
        <v>33291.709692300457</v>
      </c>
      <c r="E72" s="5">
        <f t="shared" si="3"/>
        <v>4.6334948010592125E-2</v>
      </c>
      <c r="F72" s="1">
        <f t="shared" si="4"/>
        <v>11746.521607450668</v>
      </c>
      <c r="G72" s="5">
        <f t="shared" si="6"/>
        <v>5.6334948010592127E-2</v>
      </c>
      <c r="H72" s="1">
        <f t="shared" si="7"/>
        <v>9438.3958429921058</v>
      </c>
      <c r="I72" s="5">
        <f t="shared" si="8"/>
        <v>3.6334948010592123E-2</v>
      </c>
      <c r="J72" s="1">
        <f t="shared" si="9"/>
        <v>14649.836820701054</v>
      </c>
      <c r="L72" s="1">
        <v>22</v>
      </c>
      <c r="M72" s="1">
        <f t="shared" si="10"/>
        <v>41735.695432983484</v>
      </c>
      <c r="N72" s="1"/>
      <c r="O72" s="1">
        <f t="shared" si="11"/>
        <v>0.44361546251464895</v>
      </c>
      <c r="P72" s="1"/>
      <c r="Q72" s="1">
        <f t="shared" si="12"/>
        <v>18514.59983287349</v>
      </c>
      <c r="R72" s="1">
        <f t="shared" si="13"/>
        <v>506</v>
      </c>
    </row>
    <row r="73" spans="1:18" x14ac:dyDescent="0.3">
      <c r="A73" s="1">
        <v>24</v>
      </c>
      <c r="B73" s="1">
        <v>29273.121740482598</v>
      </c>
      <c r="C73" s="1">
        <v>56012.271651585994</v>
      </c>
      <c r="D73" s="1">
        <f t="shared" si="5"/>
        <v>26739.149911103395</v>
      </c>
      <c r="E73" s="5">
        <f t="shared" si="3"/>
        <v>4.6727293939964776E-2</v>
      </c>
      <c r="F73" s="1">
        <f t="shared" si="4"/>
        <v>8935.9848909300399</v>
      </c>
      <c r="G73" s="5">
        <f t="shared" si="6"/>
        <v>5.6727293939964778E-2</v>
      </c>
      <c r="H73" s="1">
        <f t="shared" si="7"/>
        <v>7112.7476314170863</v>
      </c>
      <c r="I73" s="5">
        <f t="shared" si="8"/>
        <v>3.6727293939964774E-2</v>
      </c>
      <c r="J73" s="1">
        <f t="shared" si="9"/>
        <v>11251.199341950201</v>
      </c>
      <c r="L73" s="1">
        <v>23</v>
      </c>
      <c r="M73" s="1">
        <f t="shared" si="10"/>
        <v>33291.709692300457</v>
      </c>
      <c r="N73" s="1"/>
      <c r="O73" s="1">
        <f t="shared" si="11"/>
        <v>0.42752500845327612</v>
      </c>
      <c r="P73" s="1"/>
      <c r="Q73" s="1">
        <f t="shared" si="12"/>
        <v>14233.038467624767</v>
      </c>
      <c r="R73" s="1">
        <f t="shared" si="13"/>
        <v>552</v>
      </c>
    </row>
    <row r="74" spans="1:18" x14ac:dyDescent="0.3">
      <c r="A74" s="1">
        <v>25</v>
      </c>
      <c r="B74" s="1">
        <v>20343.897666326873</v>
      </c>
      <c r="C74" s="1">
        <v>48079.865069382024</v>
      </c>
      <c r="D74" s="1">
        <f t="shared" si="5"/>
        <v>27735.96740305515</v>
      </c>
      <c r="E74" s="5">
        <f t="shared" si="3"/>
        <v>4.6814544084497367E-2</v>
      </c>
      <c r="F74" s="1">
        <f t="shared" si="4"/>
        <v>8836.8934692801668</v>
      </c>
      <c r="G74" s="5">
        <f t="shared" si="6"/>
        <v>5.6814544084497369E-2</v>
      </c>
      <c r="H74" s="1">
        <f t="shared" si="7"/>
        <v>6967.44871895289</v>
      </c>
      <c r="I74" s="5">
        <f t="shared" si="8"/>
        <v>3.6814544084497365E-2</v>
      </c>
      <c r="J74" s="1">
        <f t="shared" si="9"/>
        <v>11233.531322749197</v>
      </c>
      <c r="L74" s="1">
        <v>24</v>
      </c>
      <c r="M74" s="1">
        <f t="shared" si="10"/>
        <v>26739.149911103395</v>
      </c>
      <c r="N74" s="1"/>
      <c r="O74" s="1">
        <f t="shared" si="11"/>
        <v>0.41201817406655022</v>
      </c>
      <c r="P74" s="1"/>
      <c r="Q74" s="1">
        <f t="shared" si="12"/>
        <v>11017.015722464579</v>
      </c>
      <c r="R74" s="1">
        <f t="shared" si="13"/>
        <v>600</v>
      </c>
    </row>
    <row r="75" spans="1:18" x14ac:dyDescent="0.3">
      <c r="A75" s="1">
        <v>26</v>
      </c>
      <c r="B75" s="1">
        <v>15536.551684117592</v>
      </c>
      <c r="C75" s="1">
        <v>43751.605075443178</v>
      </c>
      <c r="D75" s="1">
        <f t="shared" si="5"/>
        <v>28215.053391325586</v>
      </c>
      <c r="E75" s="5">
        <f t="shared" si="3"/>
        <v>4.7361725794575094E-2</v>
      </c>
      <c r="F75" s="1">
        <f t="shared" si="4"/>
        <v>8471.6244715345802</v>
      </c>
      <c r="G75" s="5">
        <f t="shared" si="6"/>
        <v>5.7361725794575096E-2</v>
      </c>
      <c r="H75" s="1">
        <f t="shared" si="7"/>
        <v>6617.0991900557156</v>
      </c>
      <c r="I75" s="5">
        <f t="shared" si="8"/>
        <v>3.7361725794575092E-2</v>
      </c>
      <c r="J75" s="1">
        <f t="shared" si="9"/>
        <v>10871.642116217925</v>
      </c>
      <c r="L75" s="1">
        <v>25</v>
      </c>
      <c r="M75" s="1">
        <f t="shared" si="10"/>
        <v>27735.96740305515</v>
      </c>
      <c r="N75" s="1"/>
      <c r="O75" s="1">
        <f t="shared" si="11"/>
        <v>0.39707379078313476</v>
      </c>
      <c r="P75" s="1"/>
      <c r="Q75" s="1">
        <f t="shared" si="12"/>
        <v>11013.225717768566</v>
      </c>
      <c r="R75" s="1">
        <f t="shared" si="13"/>
        <v>650</v>
      </c>
    </row>
    <row r="76" spans="1:18" x14ac:dyDescent="0.3">
      <c r="A76" s="1">
        <v>27</v>
      </c>
      <c r="B76" s="1">
        <v>23277.605074907027</v>
      </c>
      <c r="C76" s="1">
        <v>44843.759508161733</v>
      </c>
      <c r="D76" s="1">
        <f t="shared" si="5"/>
        <v>21566.154433254706</v>
      </c>
      <c r="E76" s="5">
        <f t="shared" si="3"/>
        <v>4.7594664320433688E-2</v>
      </c>
      <c r="F76" s="1">
        <f t="shared" si="4"/>
        <v>6145.4573749439023</v>
      </c>
      <c r="G76" s="5">
        <f t="shared" si="6"/>
        <v>5.759466432043369E-2</v>
      </c>
      <c r="H76" s="1">
        <f t="shared" si="7"/>
        <v>4755.026389671485</v>
      </c>
      <c r="I76" s="5">
        <f t="shared" si="8"/>
        <v>3.7594664320433686E-2</v>
      </c>
      <c r="J76" s="1">
        <f t="shared" si="9"/>
        <v>7962.0336115500604</v>
      </c>
      <c r="L76" s="1">
        <v>26</v>
      </c>
      <c r="M76" s="1">
        <f t="shared" si="10"/>
        <v>28215.053391325586</v>
      </c>
      <c r="N76" s="1"/>
      <c r="O76" s="1">
        <f t="shared" si="11"/>
        <v>0.38267145784064804</v>
      </c>
      <c r="P76" s="1"/>
      <c r="Q76" s="1">
        <f t="shared" si="12"/>
        <v>10797.095614310283</v>
      </c>
      <c r="R76" s="1">
        <f t="shared" si="13"/>
        <v>702</v>
      </c>
    </row>
    <row r="77" spans="1:18" x14ac:dyDescent="0.3">
      <c r="A77" s="1">
        <v>28</v>
      </c>
      <c r="B77" s="1">
        <v>13189.960101758908</v>
      </c>
      <c r="C77" s="1">
        <v>34729.036221049391</v>
      </c>
      <c r="D77" s="1">
        <f t="shared" si="5"/>
        <v>21539.076119290483</v>
      </c>
      <c r="E77" s="5">
        <f t="shared" si="3"/>
        <v>4.7776443929549384E-2</v>
      </c>
      <c r="F77" s="1">
        <f t="shared" si="4"/>
        <v>5830.4948897061649</v>
      </c>
      <c r="G77" s="5">
        <f t="shared" si="6"/>
        <v>5.7776443929549386E-2</v>
      </c>
      <c r="H77" s="1">
        <f t="shared" si="7"/>
        <v>4468.8740481545328</v>
      </c>
      <c r="I77" s="5">
        <f t="shared" si="8"/>
        <v>3.7776443929549382E-2</v>
      </c>
      <c r="J77" s="1">
        <f t="shared" si="9"/>
        <v>7626.4149333130981</v>
      </c>
      <c r="L77" s="1">
        <v>27</v>
      </c>
      <c r="M77" s="1">
        <f t="shared" si="10"/>
        <v>21566.154433254706</v>
      </c>
      <c r="N77" s="1"/>
      <c r="O77" s="1">
        <f t="shared" si="11"/>
        <v>0.36879151443633035</v>
      </c>
      <c r="P77" s="1"/>
      <c r="Q77" s="1">
        <f t="shared" si="12"/>
        <v>7953.4147540077829</v>
      </c>
      <c r="R77" s="1">
        <f t="shared" si="13"/>
        <v>756</v>
      </c>
    </row>
    <row r="78" spans="1:18" x14ac:dyDescent="0.3">
      <c r="A78" s="1">
        <v>29</v>
      </c>
      <c r="B78" s="1">
        <v>388.86180224131385</v>
      </c>
      <c r="C78" s="1">
        <v>19889.140965408878</v>
      </c>
      <c r="D78" s="1">
        <f t="shared" si="5"/>
        <v>19500.279163167565</v>
      </c>
      <c r="E78" s="5">
        <f t="shared" si="3"/>
        <v>4.7908059605566322E-2</v>
      </c>
      <c r="F78" s="1">
        <f t="shared" si="4"/>
        <v>5019.5940013177951</v>
      </c>
      <c r="G78" s="5">
        <f t="shared" si="6"/>
        <v>5.7908059605566324E-2</v>
      </c>
      <c r="H78" s="1">
        <f t="shared" si="7"/>
        <v>3811.1055845425763</v>
      </c>
      <c r="I78" s="5">
        <f t="shared" si="8"/>
        <v>3.790805960556632E-2</v>
      </c>
      <c r="J78" s="1">
        <f t="shared" si="9"/>
        <v>6628.773535608947</v>
      </c>
      <c r="L78" s="1">
        <v>28</v>
      </c>
      <c r="M78" s="1">
        <f t="shared" si="10"/>
        <v>21539.076119290483</v>
      </c>
      <c r="N78" s="1"/>
      <c r="O78" s="1">
        <f t="shared" si="11"/>
        <v>0.35541501288783905</v>
      </c>
      <c r="P78" s="1"/>
      <c r="Q78" s="1">
        <f t="shared" si="12"/>
        <v>7655.311016529773</v>
      </c>
      <c r="R78" s="1">
        <f t="shared" si="13"/>
        <v>812</v>
      </c>
    </row>
    <row r="79" spans="1:18" x14ac:dyDescent="0.3">
      <c r="A79" s="1">
        <v>30</v>
      </c>
      <c r="B79" s="1">
        <v>7640.9479483258629</v>
      </c>
      <c r="C79" s="1">
        <v>26697.994815892998</v>
      </c>
      <c r="D79" s="1">
        <f t="shared" si="5"/>
        <v>19057.046867567136</v>
      </c>
      <c r="E79" s="5">
        <f t="shared" si="3"/>
        <v>4.8356596308735345E-2</v>
      </c>
      <c r="F79" s="1">
        <f t="shared" si="4"/>
        <v>4621.5178828655662</v>
      </c>
      <c r="G79" s="5">
        <f t="shared" si="6"/>
        <v>5.8356596308735346E-2</v>
      </c>
      <c r="H79" s="1">
        <f t="shared" si="7"/>
        <v>3476.1217111499877</v>
      </c>
      <c r="I79" s="5">
        <f t="shared" si="8"/>
        <v>3.8356596308735343E-2</v>
      </c>
      <c r="J79" s="1">
        <f t="shared" si="9"/>
        <v>6161.1221205276825</v>
      </c>
      <c r="L79" s="1">
        <v>29</v>
      </c>
      <c r="M79" s="1">
        <f t="shared" si="10"/>
        <v>19500.279163167565</v>
      </c>
      <c r="N79" s="1"/>
      <c r="O79" s="1">
        <f t="shared" si="11"/>
        <v>0.34252369276753292</v>
      </c>
      <c r="P79" s="1"/>
      <c r="Q79" s="1">
        <f t="shared" si="12"/>
        <v>6679.3076289659311</v>
      </c>
      <c r="R79" s="1">
        <f t="shared" si="13"/>
        <v>870</v>
      </c>
    </row>
    <row r="80" spans="1:18" x14ac:dyDescent="0.3">
      <c r="E80" s="3" t="s">
        <v>19</v>
      </c>
      <c r="F80" s="1">
        <f>SUM(F50:F79)</f>
        <v>1641132.554284028</v>
      </c>
      <c r="G80" s="3" t="s">
        <v>37</v>
      </c>
      <c r="H80" s="1">
        <f>SUM(H50:H79)</f>
        <v>1516028.9494841392</v>
      </c>
      <c r="I80" s="3" t="s">
        <v>38</v>
      </c>
      <c r="J80" s="1">
        <f>SUM(J50:J79)</f>
        <v>1784017.7149260598</v>
      </c>
      <c r="L80" s="1">
        <v>30</v>
      </c>
      <c r="M80" s="1">
        <f t="shared" si="10"/>
        <v>19057.046867567136</v>
      </c>
      <c r="N80" s="1"/>
      <c r="O80" s="1">
        <f t="shared" si="11"/>
        <v>0.3300999559749368</v>
      </c>
      <c r="P80" s="1"/>
      <c r="Q80" s="1">
        <f t="shared" si="12"/>
        <v>6290.7303319962193</v>
      </c>
      <c r="R80" s="1">
        <f>L80*(1+L80)</f>
        <v>930</v>
      </c>
    </row>
    <row r="81" spans="1:18" ht="55.2" customHeight="1" x14ac:dyDescent="0.3">
      <c r="L81" s="4" t="s">
        <v>29</v>
      </c>
      <c r="M81" s="5">
        <f>IRR(M50:M80,0.04)</f>
        <v>3.7636287335764962E-2</v>
      </c>
      <c r="N81" s="4" t="s">
        <v>22</v>
      </c>
      <c r="O81" s="1">
        <f>SUMPRODUCT(M51:M80, O51:O80)</f>
        <v>1641132.5542840555</v>
      </c>
      <c r="P81" s="3" t="s">
        <v>23</v>
      </c>
      <c r="Q81" s="1">
        <f>SUMPRODUCT(Q51:Q80, L51:L80)/F80</f>
        <v>8.8271168148683525</v>
      </c>
      <c r="R81" s="1"/>
    </row>
    <row r="82" spans="1:18" ht="43.2" customHeight="1" x14ac:dyDescent="0.3">
      <c r="L82" s="1"/>
      <c r="M82" s="1"/>
      <c r="N82" s="1"/>
      <c r="O82" s="1"/>
      <c r="P82" s="4" t="s">
        <v>25</v>
      </c>
      <c r="Q82" s="1">
        <f>Q81/(1+M81)</f>
        <v>8.5069469163736162</v>
      </c>
      <c r="R82" s="1"/>
    </row>
    <row r="83" spans="1:18" ht="43.2" x14ac:dyDescent="0.3">
      <c r="A83" s="4" t="s">
        <v>30</v>
      </c>
      <c r="B83" s="4" t="s">
        <v>39</v>
      </c>
      <c r="C83" s="4" t="s">
        <v>41</v>
      </c>
      <c r="D83" s="4" t="s">
        <v>40</v>
      </c>
      <c r="E83" s="4" t="s">
        <v>42</v>
      </c>
      <c r="F83" s="4" t="s">
        <v>58</v>
      </c>
      <c r="G83" s="4" t="s">
        <v>31</v>
      </c>
      <c r="H83" s="4"/>
      <c r="I83" s="4"/>
      <c r="L83" s="1"/>
      <c r="M83" s="1"/>
      <c r="N83" s="1"/>
      <c r="O83" s="1"/>
      <c r="P83" s="4" t="s">
        <v>26</v>
      </c>
      <c r="Q83" s="1">
        <f>SUMPRODUCT(Q51:Q80, R51:R80)/(F80*(1+M81)^2)</f>
        <v>118.99818210762278</v>
      </c>
      <c r="R83" s="1"/>
    </row>
    <row r="84" spans="1:18" x14ac:dyDescent="0.3">
      <c r="A84" s="6">
        <v>0.01</v>
      </c>
      <c r="B84" s="1">
        <f>-Q82*A84</f>
        <v>-8.5069469163736158E-2</v>
      </c>
      <c r="C84" s="1">
        <f>F80*(1+B84)</f>
        <v>1501522.2790637594</v>
      </c>
      <c r="D84" s="1">
        <f>-Q82*A84 + 0.5*Q83*A84^2</f>
        <v>-7.9119560058355021E-2</v>
      </c>
      <c r="E84" s="1">
        <f>F80*(1+D84)</f>
        <v>1511286.8685916313</v>
      </c>
      <c r="F84" s="1">
        <f>(G84-F80)/F80</f>
        <v>-7.6230042767305509E-2</v>
      </c>
      <c r="G84" s="1">
        <f>H80</f>
        <v>1516028.9494841392</v>
      </c>
      <c r="H84" s="1"/>
      <c r="I84" s="1"/>
      <c r="K84" s="7"/>
    </row>
    <row r="85" spans="1:18" x14ac:dyDescent="0.3">
      <c r="A85" s="6">
        <v>-0.01</v>
      </c>
      <c r="B85" s="1">
        <f>-Q82*A85</f>
        <v>8.5069469163736158E-2</v>
      </c>
      <c r="C85" s="1">
        <f>F80*(1+B85)</f>
        <v>1780742.8295042966</v>
      </c>
      <c r="D85" s="1">
        <f>-Q82*A85 + 0.5*Q83*A85^2</f>
        <v>9.1019378269117296E-2</v>
      </c>
      <c r="E85" s="1">
        <f>F80*(1+D85)</f>
        <v>1790507.4190321686</v>
      </c>
      <c r="F85" s="1">
        <f>(G85-F80)/F80</f>
        <v>8.7064972460050849E-2</v>
      </c>
      <c r="G85" s="1">
        <f>J80</f>
        <v>1784017.7149260598</v>
      </c>
      <c r="H85" s="1"/>
      <c r="I85" s="1"/>
    </row>
    <row r="88" spans="1:18" ht="40.799999999999997" customHeight="1" x14ac:dyDescent="0.3">
      <c r="A88" s="3" t="s">
        <v>47</v>
      </c>
      <c r="B88" s="3" t="s">
        <v>49</v>
      </c>
      <c r="C88" s="3" t="s">
        <v>48</v>
      </c>
      <c r="D88" s="3" t="s">
        <v>54</v>
      </c>
      <c r="E88" s="3" t="s">
        <v>51</v>
      </c>
      <c r="F88" s="4" t="s">
        <v>44</v>
      </c>
      <c r="G88" s="3" t="s">
        <v>45</v>
      </c>
      <c r="H88" s="3" t="s">
        <v>46</v>
      </c>
    </row>
    <row r="89" spans="1:18" x14ac:dyDescent="0.3">
      <c r="A89" s="8">
        <f>DATE(2025,4,22)</f>
        <v>45769</v>
      </c>
      <c r="B89" s="8">
        <f>DATE(2026,1,9)</f>
        <v>46031</v>
      </c>
      <c r="C89" s="8">
        <f>DATE(2026,4,22)</f>
        <v>46134</v>
      </c>
      <c r="D89" s="8">
        <f>DATE(2039,4,22)</f>
        <v>50882</v>
      </c>
      <c r="E89" s="2">
        <v>2.75E-2</v>
      </c>
      <c r="F89" s="1">
        <f>ACCRINT(A89, C89, B89, E89, 100, 1, 1)</f>
        <v>1.9739726027397262</v>
      </c>
      <c r="G89" s="1">
        <v>90.55</v>
      </c>
      <c r="H89" s="1">
        <f>G89+F89</f>
        <v>92.523972602739718</v>
      </c>
    </row>
    <row r="90" spans="1:18" ht="45" customHeight="1" x14ac:dyDescent="0.3">
      <c r="A90" s="3" t="s">
        <v>50</v>
      </c>
      <c r="B90" s="4" t="s">
        <v>52</v>
      </c>
    </row>
    <row r="91" spans="1:18" x14ac:dyDescent="0.3">
      <c r="A91" s="9">
        <f>(B89-A89)/365</f>
        <v>0.71780821917808224</v>
      </c>
      <c r="B91" s="1">
        <f>100*E89*A91</f>
        <v>1.9739726027397262</v>
      </c>
    </row>
    <row r="94" spans="1:18" x14ac:dyDescent="0.3">
      <c r="A94" s="3" t="s">
        <v>53</v>
      </c>
      <c r="B94" s="3" t="s">
        <v>15</v>
      </c>
      <c r="C94" s="3" t="s">
        <v>55</v>
      </c>
      <c r="D94" s="3" t="s">
        <v>56</v>
      </c>
    </row>
    <row r="95" spans="1:18" x14ac:dyDescent="0.3">
      <c r="A95" s="1">
        <f>YIELD(B89, D89, E89, G89, 100, 1, 1)</f>
        <v>3.6601034006586472E-2</v>
      </c>
      <c r="B95" s="1">
        <v>2026</v>
      </c>
      <c r="C95" s="1">
        <f>100*$E$89/(1+$A$95)^(B95-2025-$A$91)</f>
        <v>2.7222450575444204</v>
      </c>
      <c r="D95" s="1"/>
    </row>
    <row r="96" spans="1:18" x14ac:dyDescent="0.3">
      <c r="B96" s="1">
        <v>2027</v>
      </c>
      <c r="C96" s="1">
        <f t="shared" ref="C96:C108" si="14">100*$E$89/(1+$A$95)^(B96-2025-$A$91)</f>
        <v>2.6261261259046007</v>
      </c>
      <c r="D96" s="1"/>
    </row>
    <row r="97" spans="2:4" x14ac:dyDescent="0.3">
      <c r="B97" s="1">
        <v>2028</v>
      </c>
      <c r="C97" s="1">
        <f t="shared" si="14"/>
        <v>2.5334010287008013</v>
      </c>
      <c r="D97" s="1"/>
    </row>
    <row r="98" spans="2:4" x14ac:dyDescent="0.3">
      <c r="B98" s="1">
        <v>2029</v>
      </c>
      <c r="C98" s="1">
        <f t="shared" si="14"/>
        <v>2.4439499340540927</v>
      </c>
      <c r="D98" s="1"/>
    </row>
    <row r="99" spans="2:4" x14ac:dyDescent="0.3">
      <c r="B99" s="1">
        <v>2030</v>
      </c>
      <c r="C99" s="1">
        <f t="shared" si="14"/>
        <v>2.3576572411933014</v>
      </c>
      <c r="D99" s="1"/>
    </row>
    <row r="100" spans="2:4" x14ac:dyDescent="0.3">
      <c r="B100" s="1">
        <v>2031</v>
      </c>
      <c r="C100" s="1">
        <f t="shared" si="14"/>
        <v>2.2744114310601016</v>
      </c>
      <c r="D100" s="1"/>
    </row>
    <row r="101" spans="2:4" x14ac:dyDescent="0.3">
      <c r="B101" s="1">
        <v>2032</v>
      </c>
      <c r="C101" s="1">
        <f t="shared" si="14"/>
        <v>2.1941049221890414</v>
      </c>
      <c r="D101" s="1"/>
    </row>
    <row r="102" spans="2:4" x14ac:dyDescent="0.3">
      <c r="B102" s="1">
        <v>2033</v>
      </c>
      <c r="C102" s="1">
        <f t="shared" si="14"/>
        <v>2.1166339316762639</v>
      </c>
      <c r="D102" s="1"/>
    </row>
    <row r="103" spans="2:4" x14ac:dyDescent="0.3">
      <c r="B103" s="1">
        <v>2034</v>
      </c>
      <c r="C103" s="1">
        <f t="shared" si="14"/>
        <v>2.0418983410572351</v>
      </c>
      <c r="D103" s="1"/>
    </row>
    <row r="104" spans="2:4" x14ac:dyDescent="0.3">
      <c r="B104" s="1">
        <v>2035</v>
      </c>
      <c r="C104" s="1">
        <f t="shared" si="14"/>
        <v>1.9698015669201627</v>
      </c>
      <c r="D104" s="1"/>
    </row>
    <row r="105" spans="2:4" x14ac:dyDescent="0.3">
      <c r="B105" s="1">
        <v>2036</v>
      </c>
      <c r="C105" s="1">
        <f t="shared" si="14"/>
        <v>1.9002504360878794</v>
      </c>
      <c r="D105" s="1"/>
    </row>
    <row r="106" spans="2:4" x14ac:dyDescent="0.3">
      <c r="B106" s="1">
        <v>2037</v>
      </c>
      <c r="C106" s="1">
        <f t="shared" si="14"/>
        <v>1.8331550652068953</v>
      </c>
      <c r="D106" s="1"/>
    </row>
    <row r="107" spans="2:4" x14ac:dyDescent="0.3">
      <c r="B107" s="1">
        <v>2038</v>
      </c>
      <c r="C107" s="1">
        <f t="shared" si="14"/>
        <v>1.7684287445880047</v>
      </c>
      <c r="D107" s="1"/>
    </row>
    <row r="108" spans="2:4" x14ac:dyDescent="0.3">
      <c r="B108" s="1">
        <v>2039</v>
      </c>
      <c r="C108" s="1">
        <f t="shared" si="14"/>
        <v>1.7059878261483272</v>
      </c>
      <c r="D108" s="1">
        <f>100/(1+A95)^(B108-2025-$A$91)</f>
        <v>62.035920950848258</v>
      </c>
    </row>
    <row r="109" spans="2:4" ht="28.8" x14ac:dyDescent="0.3">
      <c r="B109" s="4" t="s">
        <v>57</v>
      </c>
      <c r="C109" s="1">
        <f>SUM(C95:C108) + D108</f>
        <v>92.523972603179388</v>
      </c>
      <c r="D109" s="1"/>
    </row>
    <row r="119" spans="1:1" x14ac:dyDescent="0.3">
      <c r="A119" s="4"/>
    </row>
    <row r="120" spans="1:1" x14ac:dyDescent="0.3">
      <c r="A120" s="4"/>
    </row>
  </sheetData>
  <mergeCells count="3">
    <mergeCell ref="O49:O50"/>
    <mergeCell ref="Q49:Q50"/>
    <mergeCell ref="R49:R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Thieltgen</dc:creator>
  <cp:lastModifiedBy>Alexis Thieltgen</cp:lastModifiedBy>
  <dcterms:created xsi:type="dcterms:W3CDTF">2026-02-28T10:57:49Z</dcterms:created>
  <dcterms:modified xsi:type="dcterms:W3CDTF">2026-03-02T10:19:02Z</dcterms:modified>
</cp:coreProperties>
</file>